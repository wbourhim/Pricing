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aelperault/Desktop/MASTER IREF/MASTER 2 FQA/COMPUTATIONAL FINANCE/BOUSSETTA PRICING MODEL/PRICING MODEL/CODE VBA/"/>
    </mc:Choice>
  </mc:AlternateContent>
  <xr:revisionPtr revIDLastSave="0" documentId="13_ncr:1_{D7FF9BD7-B74E-5444-A5B8-A62B9CC7E3E1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Binomial_European" sheetId="1" r:id="rId1"/>
    <sheet name="Binomial_American" sheetId="2" r:id="rId2"/>
    <sheet name="Trinomial_standard" sheetId="3" r:id="rId3"/>
    <sheet name="Trinomial_barrier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4" l="1"/>
  <c r="C3" i="4" s="1"/>
  <c r="C4" i="4" s="1"/>
  <c r="G5" i="4"/>
  <c r="N7" i="4"/>
  <c r="N71" i="4"/>
  <c r="N135" i="4"/>
  <c r="N199" i="4"/>
  <c r="N263" i="4"/>
  <c r="N64" i="4"/>
  <c r="N128" i="4"/>
  <c r="N192" i="4"/>
  <c r="N256" i="4"/>
  <c r="N57" i="4"/>
  <c r="N121" i="4"/>
  <c r="N185" i="4"/>
  <c r="N249" i="4"/>
  <c r="N50" i="4"/>
  <c r="N114" i="4"/>
  <c r="N178" i="4"/>
  <c r="N242" i="4"/>
  <c r="N43" i="4"/>
  <c r="N107" i="4"/>
  <c r="N171" i="4"/>
  <c r="N235" i="4"/>
  <c r="N44" i="4"/>
  <c r="N108" i="4"/>
  <c r="N172" i="4"/>
  <c r="N236" i="4"/>
  <c r="N45" i="4"/>
  <c r="N109" i="4"/>
  <c r="N173" i="4"/>
  <c r="N237" i="4"/>
  <c r="N46" i="4"/>
  <c r="N110" i="4"/>
  <c r="N174" i="4"/>
  <c r="N238" i="4"/>
  <c r="N53" i="4"/>
  <c r="N117" i="4"/>
  <c r="N181" i="4"/>
  <c r="N245" i="4"/>
  <c r="N54" i="4"/>
  <c r="N118" i="4"/>
  <c r="N182" i="4"/>
  <c r="N246" i="4"/>
  <c r="N25" i="4"/>
  <c r="N146" i="4"/>
  <c r="N139" i="4"/>
  <c r="N76" i="4"/>
  <c r="N13" i="4"/>
  <c r="N14" i="4"/>
  <c r="N267" i="4"/>
  <c r="N247" i="4"/>
  <c r="N105" i="4"/>
  <c r="N162" i="4"/>
  <c r="N219" i="4"/>
  <c r="N29" i="4"/>
  <c r="N94" i="4"/>
  <c r="N63" i="4"/>
  <c r="N56" i="4"/>
  <c r="N113" i="4"/>
  <c r="N170" i="4"/>
  <c r="N227" i="4"/>
  <c r="N37" i="4"/>
  <c r="N102" i="4"/>
  <c r="G6" i="4"/>
  <c r="N15" i="4"/>
  <c r="N79" i="4"/>
  <c r="N143" i="4"/>
  <c r="N207" i="4"/>
  <c r="N8" i="4"/>
  <c r="N72" i="4"/>
  <c r="N136" i="4"/>
  <c r="N200" i="4"/>
  <c r="N264" i="4"/>
  <c r="N65" i="4"/>
  <c r="N129" i="4"/>
  <c r="N193" i="4"/>
  <c r="N257" i="4"/>
  <c r="N58" i="4"/>
  <c r="N122" i="4"/>
  <c r="N186" i="4"/>
  <c r="N250" i="4"/>
  <c r="N51" i="4"/>
  <c r="N115" i="4"/>
  <c r="N179" i="4"/>
  <c r="N243" i="4"/>
  <c r="N52" i="4"/>
  <c r="N116" i="4"/>
  <c r="N180" i="4"/>
  <c r="N244" i="4"/>
  <c r="N153" i="4"/>
  <c r="N75" i="4"/>
  <c r="N140" i="4"/>
  <c r="N141" i="4"/>
  <c r="N142" i="4"/>
  <c r="N119" i="4"/>
  <c r="N112" i="4"/>
  <c r="N233" i="4"/>
  <c r="N226" i="4"/>
  <c r="N28" i="4"/>
  <c r="N93" i="4"/>
  <c r="N222" i="4"/>
  <c r="N255" i="4"/>
  <c r="N248" i="4"/>
  <c r="N42" i="4"/>
  <c r="N99" i="4"/>
  <c r="N164" i="4"/>
  <c r="N229" i="4"/>
  <c r="H5" i="4"/>
  <c r="N23" i="4"/>
  <c r="N87" i="4"/>
  <c r="N151" i="4"/>
  <c r="N215" i="4"/>
  <c r="N16" i="4"/>
  <c r="N80" i="4"/>
  <c r="N144" i="4"/>
  <c r="N208" i="4"/>
  <c r="N9" i="4"/>
  <c r="N73" i="4"/>
  <c r="N137" i="4"/>
  <c r="N201" i="4"/>
  <c r="N265" i="4"/>
  <c r="N66" i="4"/>
  <c r="N130" i="4"/>
  <c r="N194" i="4"/>
  <c r="N258" i="4"/>
  <c r="N59" i="4"/>
  <c r="N123" i="4"/>
  <c r="N187" i="4"/>
  <c r="N251" i="4"/>
  <c r="N60" i="4"/>
  <c r="N124" i="4"/>
  <c r="N188" i="4"/>
  <c r="N252" i="4"/>
  <c r="N61" i="4"/>
  <c r="N125" i="4"/>
  <c r="N189" i="4"/>
  <c r="N253" i="4"/>
  <c r="N62" i="4"/>
  <c r="N126" i="4"/>
  <c r="N190" i="4"/>
  <c r="N254" i="4"/>
  <c r="N39" i="4"/>
  <c r="N231" i="4"/>
  <c r="N96" i="4"/>
  <c r="N224" i="4"/>
  <c r="N217" i="4"/>
  <c r="N82" i="4"/>
  <c r="N11" i="4"/>
  <c r="N12" i="4"/>
  <c r="N77" i="4"/>
  <c r="N78" i="4"/>
  <c r="N55" i="4"/>
  <c r="N240" i="4"/>
  <c r="N34" i="4"/>
  <c r="N91" i="4"/>
  <c r="N156" i="4"/>
  <c r="N221" i="4"/>
  <c r="H6" i="4"/>
  <c r="N184" i="4"/>
  <c r="N241" i="4"/>
  <c r="N35" i="4"/>
  <c r="N100" i="4"/>
  <c r="N165" i="4"/>
  <c r="N166" i="4"/>
  <c r="H8" i="4"/>
  <c r="N31" i="4"/>
  <c r="N95" i="4"/>
  <c r="N159" i="4"/>
  <c r="N223" i="4"/>
  <c r="N24" i="4"/>
  <c r="N88" i="4"/>
  <c r="N152" i="4"/>
  <c r="N216" i="4"/>
  <c r="N17" i="4"/>
  <c r="N81" i="4"/>
  <c r="N145" i="4"/>
  <c r="N209" i="4"/>
  <c r="N10" i="4"/>
  <c r="N74" i="4"/>
  <c r="N138" i="4"/>
  <c r="N202" i="4"/>
  <c r="N266" i="4"/>
  <c r="N67" i="4"/>
  <c r="N131" i="4"/>
  <c r="N195" i="4"/>
  <c r="N259" i="4"/>
  <c r="N68" i="4"/>
  <c r="N132" i="4"/>
  <c r="N196" i="4"/>
  <c r="N260" i="4"/>
  <c r="N69" i="4"/>
  <c r="N133" i="4"/>
  <c r="N197" i="4"/>
  <c r="N261" i="4"/>
  <c r="N70" i="4"/>
  <c r="N134" i="4"/>
  <c r="N198" i="4"/>
  <c r="N262" i="4"/>
  <c r="G8" i="4"/>
  <c r="N103" i="4"/>
  <c r="N167" i="4"/>
  <c r="N32" i="4"/>
  <c r="N160" i="4"/>
  <c r="N89" i="4"/>
  <c r="N18" i="4"/>
  <c r="N210" i="4"/>
  <c r="N203" i="4"/>
  <c r="N204" i="4"/>
  <c r="N205" i="4"/>
  <c r="N206" i="4"/>
  <c r="N183" i="4"/>
  <c r="N176" i="4"/>
  <c r="N169" i="4"/>
  <c r="N27" i="4"/>
  <c r="N92" i="4"/>
  <c r="N157" i="4"/>
  <c r="N158" i="4"/>
  <c r="N191" i="4"/>
  <c r="N49" i="4"/>
  <c r="N106" i="4"/>
  <c r="N163" i="4"/>
  <c r="N228" i="4"/>
  <c r="N38" i="4"/>
  <c r="H7" i="4"/>
  <c r="N47" i="4"/>
  <c r="N111" i="4"/>
  <c r="N175" i="4"/>
  <c r="N239" i="4"/>
  <c r="N40" i="4"/>
  <c r="N104" i="4"/>
  <c r="N168" i="4"/>
  <c r="N232" i="4"/>
  <c r="N33" i="4"/>
  <c r="N97" i="4"/>
  <c r="N161" i="4"/>
  <c r="N225" i="4"/>
  <c r="N26" i="4"/>
  <c r="N90" i="4"/>
  <c r="N154" i="4"/>
  <c r="N218" i="4"/>
  <c r="N19" i="4"/>
  <c r="N83" i="4"/>
  <c r="N147" i="4"/>
  <c r="N211" i="4"/>
  <c r="N20" i="4"/>
  <c r="N84" i="4"/>
  <c r="N148" i="4"/>
  <c r="N212" i="4"/>
  <c r="N21" i="4"/>
  <c r="N85" i="4"/>
  <c r="N149" i="4"/>
  <c r="N213" i="4"/>
  <c r="N22" i="4"/>
  <c r="N86" i="4"/>
  <c r="N150" i="4"/>
  <c r="N214" i="4"/>
  <c r="N6" i="4"/>
  <c r="G7" i="4"/>
  <c r="N48" i="4"/>
  <c r="N41" i="4"/>
  <c r="N98" i="4"/>
  <c r="N155" i="4"/>
  <c r="N220" i="4"/>
  <c r="N30" i="4"/>
  <c r="N127" i="4"/>
  <c r="N120" i="4"/>
  <c r="N177" i="4"/>
  <c r="N234" i="4"/>
  <c r="N36" i="4"/>
  <c r="N101" i="4"/>
  <c r="N230" i="4"/>
  <c r="C18" i="1"/>
  <c r="C18" i="2"/>
  <c r="C17" i="2"/>
  <c r="B17" i="2"/>
  <c r="B17" i="1"/>
  <c r="C17" i="1"/>
  <c r="B17" i="3"/>
  <c r="B18" i="1"/>
  <c r="B18" i="2"/>
  <c r="C22" i="2" l="1"/>
  <c r="C23" i="2" s="1"/>
  <c r="C13" i="3"/>
  <c r="C13" i="2"/>
  <c r="C13" i="1"/>
  <c r="G7" i="2"/>
  <c r="C5" i="2" s="1"/>
  <c r="G8" i="3"/>
  <c r="C5" i="3" s="1"/>
  <c r="G7" i="1"/>
  <c r="C4" i="1" s="1"/>
  <c r="C5" i="1" l="1"/>
  <c r="C4" i="2"/>
  <c r="C22" i="1"/>
  <c r="C23" i="1" s="1"/>
  <c r="B22" i="1"/>
  <c r="B23" i="1" s="1"/>
  <c r="B22" i="2"/>
  <c r="B23" i="2" s="1"/>
  <c r="C4" i="3"/>
</calcChain>
</file>

<file path=xl/sharedStrings.xml><?xml version="1.0" encoding="utf-8"?>
<sst xmlns="http://schemas.openxmlformats.org/spreadsheetml/2006/main" count="145" uniqueCount="80">
  <si>
    <t>Binomial tree pricing as approximation</t>
  </si>
  <si>
    <t>Input</t>
  </si>
  <si>
    <t>Continuous input</t>
  </si>
  <si>
    <t>u</t>
  </si>
  <si>
    <t>s</t>
  </si>
  <si>
    <t>Input cells</t>
  </si>
  <si>
    <t>d</t>
  </si>
  <si>
    <t>Auxiliary cells</t>
  </si>
  <si>
    <t>r</t>
  </si>
  <si>
    <t>Computed Prices</t>
  </si>
  <si>
    <t>delta_t</t>
  </si>
  <si>
    <t>Differences between methods</t>
  </si>
  <si>
    <t>Option type</t>
  </si>
  <si>
    <t>(call=1, put=2)</t>
  </si>
  <si>
    <t>Spot price</t>
  </si>
  <si>
    <t>BS-Price</t>
  </si>
  <si>
    <t>Differences</t>
  </si>
  <si>
    <t>Absolute diff.</t>
  </si>
  <si>
    <t>Relative diff.</t>
  </si>
  <si>
    <t>Binomial tree pricing as approximation (American puts and calls)</t>
  </si>
  <si>
    <t>Color code:</t>
  </si>
  <si>
    <t>b</t>
  </si>
  <si>
    <t>N</t>
  </si>
  <si>
    <t>Trinomial tree pricing as approximation (American puts and calls)</t>
  </si>
  <si>
    <t>S</t>
  </si>
  <si>
    <t>Exercise price</t>
  </si>
  <si>
    <t>K</t>
  </si>
  <si>
    <t>Interest rate</t>
  </si>
  <si>
    <t>Dividend yield</t>
  </si>
  <si>
    <t>q</t>
  </si>
  <si>
    <t>Time to maturity</t>
  </si>
  <si>
    <t>T</t>
  </si>
  <si>
    <t>Number of time periods</t>
  </si>
  <si>
    <t>Curry cost</t>
  </si>
  <si>
    <t>Probability up move</t>
  </si>
  <si>
    <t>Probability down move</t>
  </si>
  <si>
    <t>CALL</t>
  </si>
  <si>
    <t>PUT</t>
  </si>
  <si>
    <t>PUTT</t>
  </si>
  <si>
    <t>Pricing Methods</t>
  </si>
  <si>
    <r>
      <rPr>
        <b/>
        <i/>
        <sz val="12"/>
        <color theme="2" tint="-0.749992370372631"/>
        <rFont val="Calibri"/>
        <family val="2"/>
      </rPr>
      <t xml:space="preserve">Volatility </t>
    </r>
    <r>
      <rPr>
        <b/>
        <i/>
        <sz val="12"/>
        <color theme="2" tint="-0.749992370372631"/>
        <rFont val="Symbol"/>
        <family val="1"/>
        <charset val="2"/>
      </rPr>
      <t xml:space="preserve">
</t>
    </r>
  </si>
  <si>
    <r>
      <rPr>
        <b/>
        <sz val="12"/>
        <color theme="2" tint="-0.749992370372631"/>
        <rFont val="Calibri"/>
        <family val="2"/>
      </rPr>
      <t>Δ</t>
    </r>
    <r>
      <rPr>
        <b/>
        <sz val="12"/>
        <color theme="2" tint="-0.749992370372631"/>
        <rFont val="Arial"/>
        <family val="2"/>
      </rPr>
      <t>t</t>
    </r>
  </si>
  <si>
    <t xml:space="preserve">Binomial European Option </t>
  </si>
  <si>
    <r>
      <rPr>
        <b/>
        <sz val="12"/>
        <rFont val="Calibri"/>
        <family val="2"/>
      </rPr>
      <t xml:space="preserve">Volatility </t>
    </r>
    <r>
      <rPr>
        <b/>
        <sz val="12"/>
        <rFont val="Symbol"/>
        <family val="1"/>
        <charset val="2"/>
      </rPr>
      <t xml:space="preserve">
</t>
    </r>
  </si>
  <si>
    <r>
      <rPr>
        <b/>
        <sz val="12"/>
        <rFont val="Calibri"/>
        <family val="2"/>
      </rPr>
      <t>Δ</t>
    </r>
    <r>
      <rPr>
        <b/>
        <sz val="12"/>
        <rFont val="Arial"/>
        <family val="2"/>
      </rPr>
      <t>t</t>
    </r>
  </si>
  <si>
    <t>Trinomial_US</t>
  </si>
  <si>
    <t xml:space="preserve">Probability moving Down </t>
  </si>
  <si>
    <t>Probability moving Up</t>
  </si>
  <si>
    <t>Number of period</t>
  </si>
  <si>
    <t>Maturity</t>
  </si>
  <si>
    <t>Volatility</t>
  </si>
  <si>
    <t>Spot Price</t>
  </si>
  <si>
    <t>Strike Price</t>
  </si>
  <si>
    <t>Return</t>
  </si>
  <si>
    <t xml:space="preserve">Cary cost </t>
  </si>
  <si>
    <t>Upper Barrier</t>
  </si>
  <si>
    <t>Lower Barrier</t>
  </si>
  <si>
    <t>INPUTS</t>
  </si>
  <si>
    <t>𝜎</t>
  </si>
  <si>
    <t>Time of one period</t>
  </si>
  <si>
    <t>Δt</t>
  </si>
  <si>
    <t>Call</t>
  </si>
  <si>
    <t>Put</t>
  </si>
  <si>
    <t>Binomial_US price</t>
  </si>
  <si>
    <t>European Trinomial Model with Up and Down knock out Barrier</t>
  </si>
  <si>
    <t>Binomial_EU</t>
  </si>
  <si>
    <t xml:space="preserve">Blacks &amp; Scholes </t>
  </si>
  <si>
    <t>Trinomial_EU</t>
  </si>
  <si>
    <t xml:space="preserve">Trinomial_EU_barrier </t>
  </si>
  <si>
    <t>Modèle continue</t>
  </si>
  <si>
    <t>When N tends towards infinity, Binomial and Trinomial EU tends to Black &amp; Scholes Function</t>
  </si>
  <si>
    <t xml:space="preserve">Comparing Trinomial_EU and Trinomial_EU_barrier : </t>
  </si>
  <si>
    <t>Trinomial_EU_Barrier is fewer than Trinomial_EU because at some knot of the Trinomial Tree</t>
  </si>
  <si>
    <t>the underlying asset resulting from the possible paths disrispect our condition.</t>
  </si>
  <si>
    <t>To be clearer, The seller of a European Call Option usually gets K and gives the underlying asset at the end of maturity</t>
  </si>
  <si>
    <t>The Seller of the call hedges himself against a too high climb of the underlying asset.</t>
  </si>
  <si>
    <t>Thus, when the price is getting higher than the upper barrier fixed at 130, the options ceases to exist and the payoff become zero.</t>
  </si>
  <si>
    <t xml:space="preserve"> Considering a european put option, The seller of the put gets the underlying asset S and gives K to the buyer at  maturity.</t>
  </si>
  <si>
    <t>The seller aims to protect himself against the loss of the S value.</t>
  </si>
  <si>
    <t>Thus, when the price of the underlying asset is getting lower than the lower barrier 40, the options ceases to exist and the payoff become zero.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</si>
</sst>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\ ;[Red]\(#,##0\);&quot;-&quot;"/>
    <numFmt numFmtId="166" formatCode="0.00000"/>
    <numFmt numFmtId="167" formatCode="0.000%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0"/>
      <name val="Symbol"/>
      <family val="1"/>
      <charset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18"/>
      <name val="Arial"/>
      <family val="2"/>
    </font>
    <font>
      <sz val="12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theme="1"/>
      <name val="Arial"/>
      <family val="2"/>
    </font>
    <font>
      <b/>
      <i/>
      <sz val="14"/>
      <color theme="2" tint="-0.749992370372631"/>
      <name val="Calibri"/>
      <family val="2"/>
      <scheme val="minor"/>
    </font>
    <font>
      <b/>
      <i/>
      <u/>
      <sz val="12"/>
      <color theme="2" tint="-0.749992370372631"/>
      <name val="Arial"/>
      <family val="2"/>
    </font>
    <font>
      <b/>
      <i/>
      <sz val="12"/>
      <color theme="2" tint="-0.749992370372631"/>
      <name val="Arial"/>
      <family val="2"/>
    </font>
    <font>
      <b/>
      <i/>
      <sz val="12"/>
      <color theme="2" tint="-0.749992370372631"/>
      <name val="Symbol"/>
      <family val="1"/>
      <charset val="2"/>
    </font>
    <font>
      <b/>
      <i/>
      <sz val="12"/>
      <color theme="2" tint="-0.749992370372631"/>
      <name val="Calibri"/>
      <family val="2"/>
    </font>
    <font>
      <b/>
      <sz val="12"/>
      <color theme="2" tint="-0.749992370372631"/>
      <name val="Symbol"/>
      <family val="1"/>
      <charset val="2"/>
    </font>
    <font>
      <b/>
      <sz val="12"/>
      <color theme="2" tint="-0.749992370372631"/>
      <name val="Arial"/>
      <family val="2"/>
    </font>
    <font>
      <b/>
      <sz val="12"/>
      <color theme="2" tint="-0.749992370372631"/>
      <name val="Calibri"/>
      <family val="2"/>
    </font>
    <font>
      <b/>
      <sz val="12"/>
      <color rgb="FF000000"/>
      <name val="Arial"/>
      <family val="2"/>
    </font>
    <font>
      <b/>
      <sz val="12"/>
      <name val="Symbol"/>
      <family val="1"/>
      <charset val="2"/>
    </font>
    <font>
      <b/>
      <sz val="12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u/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i/>
      <sz val="14"/>
      <color rgb="FFFF0000"/>
      <name val="Arial"/>
      <family val="2"/>
    </font>
    <font>
      <b/>
      <i/>
      <sz val="14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Athelas Regula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0" fontId="3" fillId="0" borderId="0" xfId="0" applyFont="1"/>
    <xf numFmtId="0" fontId="3" fillId="3" borderId="1" xfId="0" applyFont="1" applyFill="1" applyBorder="1"/>
    <xf numFmtId="0" fontId="5" fillId="0" borderId="0" xfId="0" applyFont="1"/>
    <xf numFmtId="0" fontId="6" fillId="0" borderId="0" xfId="0" applyFont="1"/>
    <xf numFmtId="0" fontId="10" fillId="0" borderId="0" xfId="0" applyFont="1"/>
    <xf numFmtId="0" fontId="0" fillId="0" borderId="0" xfId="0" applyFill="1" applyBorder="1"/>
    <xf numFmtId="0" fontId="0" fillId="0" borderId="0" xfId="0" applyFill="1"/>
    <xf numFmtId="0" fontId="4" fillId="0" borderId="0" xfId="0" applyFont="1" applyAlignment="1"/>
    <xf numFmtId="0" fontId="0" fillId="0" borderId="0" xfId="0" applyFill="1" applyAlignment="1"/>
    <xf numFmtId="0" fontId="8" fillId="0" borderId="0" xfId="0" applyFont="1" applyAlignment="1"/>
    <xf numFmtId="0" fontId="10" fillId="0" borderId="0" xfId="0" applyFont="1" applyFill="1" applyBorder="1" applyAlignment="1"/>
    <xf numFmtId="0" fontId="11" fillId="0" borderId="0" xfId="1" applyNumberFormat="1" applyFont="1" applyFill="1" applyBorder="1" applyAlignment="1" applyProtection="1">
      <alignment vertical="center"/>
      <protection hidden="1"/>
    </xf>
    <xf numFmtId="0" fontId="11" fillId="0" borderId="0" xfId="1" applyFont="1" applyFill="1" applyBorder="1" applyProtection="1">
      <protection hidden="1"/>
    </xf>
    <xf numFmtId="0" fontId="11" fillId="0" borderId="0" xfId="3" applyNumberFormat="1" applyFont="1" applyFill="1" applyBorder="1" applyAlignment="1" applyProtection="1">
      <alignment horizontal="right" vertical="center"/>
      <protection locked="0"/>
    </xf>
    <xf numFmtId="0" fontId="0" fillId="0" borderId="0" xfId="0" applyBorder="1"/>
    <xf numFmtId="10" fontId="11" fillId="0" borderId="0" xfId="3" applyNumberFormat="1" applyFont="1" applyFill="1" applyBorder="1" applyAlignment="1" applyProtection="1">
      <alignment horizontal="right" vertical="center"/>
      <protection locked="0"/>
    </xf>
    <xf numFmtId="0" fontId="11" fillId="0" borderId="0" xfId="1" applyNumberFormat="1" applyFont="1" applyFill="1" applyBorder="1" applyAlignment="1" applyProtection="1">
      <alignment horizontal="right" vertical="center"/>
      <protection hidden="1"/>
    </xf>
    <xf numFmtId="165" fontId="11" fillId="0" borderId="0" xfId="3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Alignment="1"/>
    <xf numFmtId="0" fontId="3" fillId="0" borderId="0" xfId="0" applyFont="1" applyFill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164" fontId="16" fillId="6" borderId="1" xfId="0" applyNumberFormat="1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3" fillId="5" borderId="1" xfId="0" applyFont="1" applyFill="1" applyBorder="1"/>
    <xf numFmtId="0" fontId="17" fillId="6" borderId="1" xfId="0" applyFont="1" applyFill="1" applyBorder="1"/>
    <xf numFmtId="0" fontId="14" fillId="3" borderId="1" xfId="0" applyFont="1" applyFill="1" applyBorder="1"/>
    <xf numFmtId="0" fontId="18" fillId="0" borderId="0" xfId="0" applyFont="1"/>
    <xf numFmtId="0" fontId="16" fillId="4" borderId="1" xfId="0" applyFont="1" applyFill="1" applyBorder="1"/>
    <xf numFmtId="0" fontId="13" fillId="0" borderId="0" xfId="0" applyFont="1" applyAlignment="1">
      <alignment horizontal="center"/>
    </xf>
    <xf numFmtId="0" fontId="12" fillId="7" borderId="0" xfId="0" applyFont="1" applyFill="1"/>
    <xf numFmtId="164" fontId="19" fillId="8" borderId="1" xfId="0" applyNumberFormat="1" applyFont="1" applyFill="1" applyBorder="1" applyAlignment="1">
      <alignment horizontal="center"/>
    </xf>
    <xf numFmtId="10" fontId="19" fillId="8" borderId="1" xfId="0" applyNumberFormat="1" applyFont="1" applyFill="1" applyBorder="1" applyAlignment="1">
      <alignment horizontal="center"/>
    </xf>
    <xf numFmtId="164" fontId="14" fillId="8" borderId="1" xfId="0" applyNumberFormat="1" applyFont="1" applyFill="1" applyBorder="1" applyAlignment="1">
      <alignment horizontal="center"/>
    </xf>
    <xf numFmtId="164" fontId="15" fillId="8" borderId="1" xfId="0" applyNumberFormat="1" applyFont="1" applyFill="1" applyBorder="1" applyAlignment="1">
      <alignment horizontal="center"/>
    </xf>
    <xf numFmtId="167" fontId="15" fillId="8" borderId="1" xfId="2" applyNumberFormat="1" applyFont="1" applyFill="1" applyBorder="1" applyAlignment="1">
      <alignment horizontal="center"/>
    </xf>
    <xf numFmtId="0" fontId="15" fillId="7" borderId="1" xfId="0" applyFont="1" applyFill="1" applyBorder="1"/>
    <xf numFmtId="0" fontId="15" fillId="7" borderId="1" xfId="0" applyFont="1" applyFill="1" applyBorder="1" applyAlignment="1"/>
    <xf numFmtId="0" fontId="14" fillId="7" borderId="1" xfId="0" applyFont="1" applyFill="1" applyBorder="1"/>
    <xf numFmtId="0" fontId="14" fillId="0" borderId="2" xfId="0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0" fontId="20" fillId="0" borderId="1" xfId="0" applyFont="1" applyBorder="1"/>
    <xf numFmtId="0" fontId="21" fillId="0" borderId="1" xfId="0" applyFont="1" applyBorder="1"/>
    <xf numFmtId="0" fontId="22" fillId="0" borderId="1" xfId="0" applyFont="1" applyBorder="1"/>
    <xf numFmtId="0" fontId="23" fillId="0" borderId="1" xfId="0" applyFont="1" applyBorder="1" applyAlignment="1"/>
    <xf numFmtId="0" fontId="25" fillId="0" borderId="1" xfId="0" applyFont="1" applyBorder="1" applyAlignment="1"/>
    <xf numFmtId="0" fontId="26" fillId="0" borderId="1" xfId="0" applyFont="1" applyBorder="1"/>
    <xf numFmtId="166" fontId="15" fillId="6" borderId="1" xfId="0" applyNumberFormat="1" applyFont="1" applyFill="1" applyBorder="1" applyAlignment="1">
      <alignment horizontal="center"/>
    </xf>
    <xf numFmtId="0" fontId="10" fillId="10" borderId="1" xfId="0" applyFont="1" applyFill="1" applyBorder="1"/>
    <xf numFmtId="0" fontId="15" fillId="10" borderId="1" xfId="0" applyFont="1" applyFill="1" applyBorder="1" applyAlignment="1">
      <alignment horizontal="center"/>
    </xf>
    <xf numFmtId="0" fontId="7" fillId="2" borderId="3" xfId="0" applyFont="1" applyFill="1" applyBorder="1"/>
    <xf numFmtId="0" fontId="3" fillId="10" borderId="1" xfId="0" applyFont="1" applyFill="1" applyBorder="1"/>
    <xf numFmtId="0" fontId="0" fillId="10" borderId="1" xfId="0" applyFill="1" applyBorder="1"/>
    <xf numFmtId="0" fontId="31" fillId="10" borderId="1" xfId="0" applyFont="1" applyFill="1" applyBorder="1"/>
    <xf numFmtId="0" fontId="31" fillId="10" borderId="1" xfId="0" applyFont="1" applyFill="1" applyBorder="1" applyAlignment="1"/>
    <xf numFmtId="0" fontId="10" fillId="10" borderId="1" xfId="0" applyFont="1" applyFill="1" applyBorder="1" applyAlignment="1"/>
    <xf numFmtId="0" fontId="32" fillId="10" borderId="1" xfId="0" applyFont="1" applyFill="1" applyBorder="1"/>
    <xf numFmtId="0" fontId="10" fillId="11" borderId="3" xfId="0" applyFont="1" applyFill="1" applyBorder="1"/>
    <xf numFmtId="0" fontId="3" fillId="12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/>
    <xf numFmtId="0" fontId="10" fillId="12" borderId="1" xfId="0" applyFont="1" applyFill="1" applyBorder="1"/>
    <xf numFmtId="0" fontId="15" fillId="12" borderId="1" xfId="0" applyFont="1" applyFill="1" applyBorder="1"/>
    <xf numFmtId="0" fontId="35" fillId="0" borderId="0" xfId="0" applyFont="1"/>
    <xf numFmtId="0" fontId="36" fillId="13" borderId="1" xfId="0" applyFont="1" applyFill="1" applyBorder="1" applyAlignment="1">
      <alignment horizontal="center"/>
    </xf>
    <xf numFmtId="0" fontId="0" fillId="12" borderId="0" xfId="0" applyFill="1"/>
    <xf numFmtId="0" fontId="37" fillId="10" borderId="1" xfId="0" applyFont="1" applyFill="1" applyBorder="1"/>
    <xf numFmtId="164" fontId="16" fillId="10" borderId="1" xfId="0" applyNumberFormat="1" applyFont="1" applyFill="1" applyBorder="1" applyAlignment="1">
      <alignment horizontal="center"/>
    </xf>
    <xf numFmtId="0" fontId="29" fillId="10" borderId="0" xfId="0" applyFont="1" applyFill="1" applyAlignment="1"/>
    <xf numFmtId="0" fontId="14" fillId="10" borderId="0" xfId="0" applyFont="1" applyFill="1"/>
    <xf numFmtId="0" fontId="15" fillId="10" borderId="0" xfId="0" applyFont="1" applyFill="1"/>
    <xf numFmtId="0" fontId="15" fillId="10" borderId="0" xfId="0" applyFont="1" applyFill="1" applyBorder="1"/>
    <xf numFmtId="0" fontId="36" fillId="14" borderId="1" xfId="0" applyFont="1" applyFill="1" applyBorder="1" applyAlignment="1">
      <alignment horizontal="center"/>
    </xf>
    <xf numFmtId="0" fontId="37" fillId="13" borderId="1" xfId="0" applyFont="1" applyFill="1" applyBorder="1"/>
    <xf numFmtId="166" fontId="38" fillId="13" borderId="1" xfId="0" applyNumberFormat="1" applyFont="1" applyFill="1" applyBorder="1" applyAlignment="1">
      <alignment horizontal="center"/>
    </xf>
    <xf numFmtId="166" fontId="36" fillId="13" borderId="1" xfId="0" applyNumberFormat="1" applyFont="1" applyFill="1" applyBorder="1" applyAlignment="1">
      <alignment horizontal="center"/>
    </xf>
    <xf numFmtId="10" fontId="38" fillId="13" borderId="1" xfId="0" applyNumberFormat="1" applyFont="1" applyFill="1" applyBorder="1" applyAlignment="1">
      <alignment horizontal="center"/>
    </xf>
    <xf numFmtId="10" fontId="36" fillId="13" borderId="1" xfId="2" applyNumberFormat="1" applyFont="1" applyFill="1" applyBorder="1" applyAlignment="1">
      <alignment horizontal="center"/>
    </xf>
    <xf numFmtId="0" fontId="2" fillId="9" borderId="0" xfId="0" applyFont="1" applyFill="1"/>
    <xf numFmtId="0" fontId="2" fillId="10" borderId="0" xfId="0" applyFont="1" applyFill="1"/>
    <xf numFmtId="0" fontId="39" fillId="13" borderId="0" xfId="0" applyFont="1" applyFill="1"/>
    <xf numFmtId="0" fontId="40" fillId="13" borderId="0" xfId="0" applyFont="1" applyFill="1"/>
    <xf numFmtId="2" fontId="41" fillId="13" borderId="1" xfId="0" applyNumberFormat="1" applyFont="1" applyFill="1" applyBorder="1" applyAlignment="1">
      <alignment horizontal="center"/>
    </xf>
    <xf numFmtId="2" fontId="42" fillId="13" borderId="1" xfId="0" applyNumberFormat="1" applyFont="1" applyFill="1" applyBorder="1" applyAlignment="1">
      <alignment horizontal="center"/>
    </xf>
    <xf numFmtId="0" fontId="29" fillId="13" borderId="1" xfId="0" applyFont="1" applyFill="1" applyBorder="1" applyAlignment="1"/>
    <xf numFmtId="0" fontId="15" fillId="13" borderId="1" xfId="0" applyFont="1" applyFill="1" applyBorder="1"/>
    <xf numFmtId="0" fontId="14" fillId="13" borderId="0" xfId="0" applyFont="1" applyFill="1"/>
    <xf numFmtId="0" fontId="15" fillId="13" borderId="0" xfId="0" applyFont="1" applyFill="1"/>
    <xf numFmtId="0" fontId="10" fillId="7" borderId="2" xfId="0" applyFont="1" applyFill="1" applyBorder="1"/>
    <xf numFmtId="0" fontId="15" fillId="7" borderId="2" xfId="0" applyFont="1" applyFill="1" applyBorder="1"/>
    <xf numFmtId="0" fontId="15" fillId="7" borderId="0" xfId="0" applyFont="1" applyFill="1"/>
    <xf numFmtId="0" fontId="34" fillId="7" borderId="2" xfId="0" applyFont="1" applyFill="1" applyBorder="1"/>
    <xf numFmtId="0" fontId="33" fillId="10" borderId="1" xfId="0" applyFont="1" applyFill="1" applyBorder="1"/>
    <xf numFmtId="0" fontId="15" fillId="9" borderId="1" xfId="0" applyFont="1" applyFill="1" applyBorder="1"/>
    <xf numFmtId="0" fontId="15" fillId="9" borderId="1" xfId="0" applyFont="1" applyFill="1" applyBorder="1" applyAlignment="1"/>
    <xf numFmtId="0" fontId="15" fillId="14" borderId="1" xfId="0" applyFont="1" applyFill="1" applyBorder="1" applyAlignment="1">
      <alignment horizontal="center"/>
    </xf>
    <xf numFmtId="2" fontId="44" fillId="13" borderId="1" xfId="0" applyNumberFormat="1" applyFont="1" applyFill="1" applyBorder="1" applyAlignment="1">
      <alignment horizontal="center"/>
    </xf>
    <xf numFmtId="0" fontId="46" fillId="12" borderId="0" xfId="0" applyFont="1" applyFill="1"/>
    <xf numFmtId="0" fontId="47" fillId="12" borderId="0" xfId="0" applyFont="1" applyFill="1" applyAlignment="1">
      <alignment horizontal="center"/>
    </xf>
    <xf numFmtId="0" fontId="47" fillId="12" borderId="0" xfId="0" applyFont="1" applyFill="1"/>
    <xf numFmtId="0" fontId="10" fillId="0" borderId="1" xfId="0" applyFont="1" applyBorder="1" applyAlignment="1">
      <alignment horizontal="center"/>
    </xf>
    <xf numFmtId="0" fontId="0" fillId="0" borderId="0" xfId="0" applyFill="1" applyAlignment="1"/>
    <xf numFmtId="0" fontId="43" fillId="12" borderId="0" xfId="0" applyFont="1" applyFill="1" applyAlignment="1">
      <alignment horizontal="center"/>
    </xf>
    <xf numFmtId="0" fontId="45" fillId="13" borderId="0" xfId="0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Pourcentage" xfId="2" builtinId="5"/>
    <cellStyle name="Pourcentage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 price</a:t>
            </a:r>
          </a:p>
          <a:p>
            <a:pPr>
              <a:defRPr/>
            </a:pPr>
            <a:endParaRPr lang="fr-FR"/>
          </a:p>
        </c:rich>
      </c:tx>
      <c:layout>
        <c:manualLayout>
          <c:xMode val="edge"/>
          <c:yMode val="edge"/>
          <c:x val="0.41403673669930985"/>
          <c:y val="2.2337535105766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Trinomial_barrier!$M$6:$M$267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cat>
          <c:val>
            <c:numRef>
              <c:f>Trinomial_barrier!$N$6:$N$267</c:f>
              <c:numCache>
                <c:formatCode>General</c:formatCode>
                <c:ptCount val="2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5.1242705840610046E-3</c:v>
                </c:pt>
                <c:pt idx="62">
                  <c:v>1.2758809045828191E-2</c:v>
                </c:pt>
                <c:pt idx="63">
                  <c:v>2.0393347507595305E-2</c:v>
                </c:pt>
                <c:pt idx="64">
                  <c:v>2.8027885969362485E-2</c:v>
                </c:pt>
                <c:pt idx="65">
                  <c:v>3.5662424431129672E-2</c:v>
                </c:pt>
                <c:pt idx="66">
                  <c:v>4.3296962892896702E-2</c:v>
                </c:pt>
                <c:pt idx="67">
                  <c:v>6.7661125637710332E-2</c:v>
                </c:pt>
                <c:pt idx="68">
                  <c:v>0.12655690069682887</c:v>
                </c:pt>
                <c:pt idx="69">
                  <c:v>0.18545267575594629</c:v>
                </c:pt>
                <c:pt idx="70">
                  <c:v>0.24434845081506484</c:v>
                </c:pt>
                <c:pt idx="71">
                  <c:v>0.30324422587418337</c:v>
                </c:pt>
                <c:pt idx="72">
                  <c:v>0.36214000093330129</c:v>
                </c:pt>
                <c:pt idx="73">
                  <c:v>0.42103577599241926</c:v>
                </c:pt>
                <c:pt idx="74">
                  <c:v>0.52724930755657395</c:v>
                </c:pt>
                <c:pt idx="75">
                  <c:v>0.73672720960462246</c:v>
                </c:pt>
                <c:pt idx="76">
                  <c:v>0.94620511165267118</c:v>
                </c:pt>
                <c:pt idx="77">
                  <c:v>1.1556830137007221</c:v>
                </c:pt>
                <c:pt idx="78">
                  <c:v>1.3651609157487707</c:v>
                </c:pt>
                <c:pt idx="79">
                  <c:v>1.5746388177968194</c:v>
                </c:pt>
                <c:pt idx="80">
                  <c:v>1.7841167198448684</c:v>
                </c:pt>
                <c:pt idx="81">
                  <c:v>1.9935946218929188</c:v>
                </c:pt>
                <c:pt idx="82">
                  <c:v>2.3457927433909611</c:v>
                </c:pt>
                <c:pt idx="83">
                  <c:v>2.8080372690393736</c:v>
                </c:pt>
                <c:pt idx="84">
                  <c:v>3.2702817946877865</c:v>
                </c:pt>
                <c:pt idx="85">
                  <c:v>3.7325263203361967</c:v>
                </c:pt>
                <c:pt idx="86">
                  <c:v>4.194770845984606</c:v>
                </c:pt>
                <c:pt idx="87">
                  <c:v>4.6570153716330216</c:v>
                </c:pt>
                <c:pt idx="88">
                  <c:v>4.9080030882296555</c:v>
                </c:pt>
                <c:pt idx="89">
                  <c:v>5.3626130754163013</c:v>
                </c:pt>
                <c:pt idx="90">
                  <c:v>5.8172230626029471</c:v>
                </c:pt>
                <c:pt idx="91">
                  <c:v>6.5370162727420071</c:v>
                </c:pt>
                <c:pt idx="92">
                  <c:v>7.2568094828810628</c:v>
                </c:pt>
                <c:pt idx="93">
                  <c:v>7.9766026930201264</c:v>
                </c:pt>
                <c:pt idx="94">
                  <c:v>8.6963959031591838</c:v>
                </c:pt>
                <c:pt idx="95">
                  <c:v>9.4161891132982429</c:v>
                </c:pt>
                <c:pt idx="96">
                  <c:v>10.135982323437302</c:v>
                </c:pt>
                <c:pt idx="97">
                  <c:v>9.3012088113727849</c:v>
                </c:pt>
                <c:pt idx="98">
                  <c:v>9.969740784914503</c:v>
                </c:pt>
                <c:pt idx="99">
                  <c:v>10.638272758456207</c:v>
                </c:pt>
                <c:pt idx="100">
                  <c:v>11.401995625558287</c:v>
                </c:pt>
                <c:pt idx="101">
                  <c:v>12.248581845620421</c:v>
                </c:pt>
                <c:pt idx="102">
                  <c:v>13.095168065682564</c:v>
                </c:pt>
                <c:pt idx="103">
                  <c:v>13.941754285744699</c:v>
                </c:pt>
                <c:pt idx="104">
                  <c:v>14.78834050580684</c:v>
                </c:pt>
                <c:pt idx="105">
                  <c:v>15.634926725868985</c:v>
                </c:pt>
                <c:pt idx="106">
                  <c:v>16.481512945931108</c:v>
                </c:pt>
                <c:pt idx="107">
                  <c:v>12.311571218853485</c:v>
                </c:pt>
                <c:pt idx="108">
                  <c:v>13.007575311926693</c:v>
                </c:pt>
                <c:pt idx="109">
                  <c:v>13.703579404999903</c:v>
                </c:pt>
                <c:pt idx="110">
                  <c:v>14.405094252600374</c:v>
                </c:pt>
                <c:pt idx="111">
                  <c:v>15.175818652144596</c:v>
                </c:pt>
                <c:pt idx="112">
                  <c:v>15.946543051688788</c:v>
                </c:pt>
                <c:pt idx="113">
                  <c:v>16.717267451233006</c:v>
                </c:pt>
                <c:pt idx="114">
                  <c:v>17.487991850777217</c:v>
                </c:pt>
                <c:pt idx="115">
                  <c:v>18.258716250321427</c:v>
                </c:pt>
                <c:pt idx="116">
                  <c:v>19.029440649865649</c:v>
                </c:pt>
                <c:pt idx="117">
                  <c:v>19.800165049409856</c:v>
                </c:pt>
                <c:pt idx="118">
                  <c:v>11.328570779891033</c:v>
                </c:pt>
                <c:pt idx="119">
                  <c:v>11.846528555834873</c:v>
                </c:pt>
                <c:pt idx="120">
                  <c:v>12.364486331778723</c:v>
                </c:pt>
                <c:pt idx="121">
                  <c:v>12.882444107722575</c:v>
                </c:pt>
                <c:pt idx="122">
                  <c:v>13.409588517807494</c:v>
                </c:pt>
                <c:pt idx="123">
                  <c:v>13.945464185335284</c:v>
                </c:pt>
                <c:pt idx="124">
                  <c:v>14.481339852863071</c:v>
                </c:pt>
                <c:pt idx="125">
                  <c:v>15.01721552039084</c:v>
                </c:pt>
                <c:pt idx="126">
                  <c:v>15.553091187918627</c:v>
                </c:pt>
                <c:pt idx="127">
                  <c:v>16.088966855446408</c:v>
                </c:pt>
                <c:pt idx="128">
                  <c:v>16.624842522974191</c:v>
                </c:pt>
                <c:pt idx="129">
                  <c:v>17.160718190501978</c:v>
                </c:pt>
                <c:pt idx="130">
                  <c:v>17.696593858029761</c:v>
                </c:pt>
                <c:pt idx="131">
                  <c:v>7.3599573845085349</c:v>
                </c:pt>
                <c:pt idx="132">
                  <c:v>7.6306498290838967</c:v>
                </c:pt>
                <c:pt idx="133">
                  <c:v>7.9013422736592656</c:v>
                </c:pt>
                <c:pt idx="134">
                  <c:v>8.1720347182346345</c:v>
                </c:pt>
                <c:pt idx="135">
                  <c:v>8.4441102818344582</c:v>
                </c:pt>
                <c:pt idx="136">
                  <c:v>8.7166825332336337</c:v>
                </c:pt>
                <c:pt idx="137">
                  <c:v>8.9892547846328057</c:v>
                </c:pt>
                <c:pt idx="138">
                  <c:v>9.2618270360319706</c:v>
                </c:pt>
                <c:pt idx="139">
                  <c:v>9.5343992874311443</c:v>
                </c:pt>
                <c:pt idx="140">
                  <c:v>9.8069715388303198</c:v>
                </c:pt>
                <c:pt idx="141">
                  <c:v>10.07954379022949</c:v>
                </c:pt>
                <c:pt idx="142">
                  <c:v>10.352116041628664</c:v>
                </c:pt>
                <c:pt idx="143">
                  <c:v>10.624688293027841</c:v>
                </c:pt>
                <c:pt idx="144">
                  <c:v>2.9676828039677683</c:v>
                </c:pt>
                <c:pt idx="145">
                  <c:v>3.0622008088465109</c:v>
                </c:pt>
                <c:pt idx="146">
                  <c:v>3.1567188137252549</c:v>
                </c:pt>
                <c:pt idx="147">
                  <c:v>3.2512368186039988</c:v>
                </c:pt>
                <c:pt idx="148">
                  <c:v>3.3457548234827423</c:v>
                </c:pt>
                <c:pt idx="149">
                  <c:v>3.4402728283614867</c:v>
                </c:pt>
                <c:pt idx="150">
                  <c:v>3.5347908332402294</c:v>
                </c:pt>
                <c:pt idx="151">
                  <c:v>3.629308838118972</c:v>
                </c:pt>
                <c:pt idx="152">
                  <c:v>3.7238268429977164</c:v>
                </c:pt>
                <c:pt idx="153">
                  <c:v>3.8183448478764608</c:v>
                </c:pt>
                <c:pt idx="154">
                  <c:v>3.9128628527552034</c:v>
                </c:pt>
                <c:pt idx="155">
                  <c:v>4.0073808576339482</c:v>
                </c:pt>
                <c:pt idx="156">
                  <c:v>4.1018988625126935</c:v>
                </c:pt>
                <c:pt idx="157">
                  <c:v>4.1964168673914335</c:v>
                </c:pt>
                <c:pt idx="158">
                  <c:v>4.2909348722701779</c:v>
                </c:pt>
                <c:pt idx="159">
                  <c:v>0.71864710554237321</c:v>
                </c:pt>
                <c:pt idx="160">
                  <c:v>0.73844480395011114</c:v>
                </c:pt>
                <c:pt idx="161">
                  <c:v>0.7582425023578494</c:v>
                </c:pt>
                <c:pt idx="162">
                  <c:v>0.77804020076558722</c:v>
                </c:pt>
                <c:pt idx="163">
                  <c:v>0.79783789917332493</c:v>
                </c:pt>
                <c:pt idx="164">
                  <c:v>0.81763559758106241</c:v>
                </c:pt>
                <c:pt idx="165">
                  <c:v>0.83743329598880045</c:v>
                </c:pt>
                <c:pt idx="166">
                  <c:v>0.85723099439653816</c:v>
                </c:pt>
                <c:pt idx="167">
                  <c:v>0.87702869280427664</c:v>
                </c:pt>
                <c:pt idx="168">
                  <c:v>0.89682639121201446</c:v>
                </c:pt>
                <c:pt idx="169">
                  <c:v>0.91662408961975217</c:v>
                </c:pt>
                <c:pt idx="170">
                  <c:v>0.93642178802748977</c:v>
                </c:pt>
                <c:pt idx="171">
                  <c:v>0.95621948643522769</c:v>
                </c:pt>
                <c:pt idx="172">
                  <c:v>0.97601718484296585</c:v>
                </c:pt>
                <c:pt idx="173">
                  <c:v>0.99581488325070333</c:v>
                </c:pt>
                <c:pt idx="174">
                  <c:v>1.0156125816584411</c:v>
                </c:pt>
                <c:pt idx="175">
                  <c:v>1.0354102800661795</c:v>
                </c:pt>
                <c:pt idx="176">
                  <c:v>7.8455198800432155E-2</c:v>
                </c:pt>
                <c:pt idx="177">
                  <c:v>8.0335005624236511E-2</c:v>
                </c:pt>
                <c:pt idx="178">
                  <c:v>8.2214812448040853E-2</c:v>
                </c:pt>
                <c:pt idx="179">
                  <c:v>8.4094619271845195E-2</c:v>
                </c:pt>
                <c:pt idx="180">
                  <c:v>8.5974426095649537E-2</c:v>
                </c:pt>
                <c:pt idx="181">
                  <c:v>8.7854232919453892E-2</c:v>
                </c:pt>
                <c:pt idx="182">
                  <c:v>8.9734039743258248E-2</c:v>
                </c:pt>
                <c:pt idx="183">
                  <c:v>9.1613846567062548E-2</c:v>
                </c:pt>
                <c:pt idx="184">
                  <c:v>9.3493653390866877E-2</c:v>
                </c:pt>
                <c:pt idx="185">
                  <c:v>9.5373460214671232E-2</c:v>
                </c:pt>
                <c:pt idx="186">
                  <c:v>9.7253267038475588E-2</c:v>
                </c:pt>
                <c:pt idx="187">
                  <c:v>9.913307386227993E-2</c:v>
                </c:pt>
                <c:pt idx="188">
                  <c:v>0.10101288068608427</c:v>
                </c:pt>
                <c:pt idx="189">
                  <c:v>0.10289268750988859</c:v>
                </c:pt>
                <c:pt idx="190">
                  <c:v>0.10477249433369291</c:v>
                </c:pt>
                <c:pt idx="191">
                  <c:v>0.10665230115749727</c:v>
                </c:pt>
                <c:pt idx="192">
                  <c:v>0.10853210798130161</c:v>
                </c:pt>
                <c:pt idx="193">
                  <c:v>0.11041191480510597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D-2649-B88D-97778B7084B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Trinomial_barrier!$M$6:$M$267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cat>
          <c:val>
            <c:numRef>
              <c:f>Trinomial_barrier!$N$6:$N$267</c:f>
              <c:numCache>
                <c:formatCode>General</c:formatCode>
                <c:ptCount val="2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5.1242705840610046E-3</c:v>
                </c:pt>
                <c:pt idx="62">
                  <c:v>1.2758809045828191E-2</c:v>
                </c:pt>
                <c:pt idx="63">
                  <c:v>2.0393347507595305E-2</c:v>
                </c:pt>
                <c:pt idx="64">
                  <c:v>2.8027885969362485E-2</c:v>
                </c:pt>
                <c:pt idx="65">
                  <c:v>3.5662424431129672E-2</c:v>
                </c:pt>
                <c:pt idx="66">
                  <c:v>4.3296962892896702E-2</c:v>
                </c:pt>
                <c:pt idx="67">
                  <c:v>6.7661125637710332E-2</c:v>
                </c:pt>
                <c:pt idx="68">
                  <c:v>0.12655690069682887</c:v>
                </c:pt>
                <c:pt idx="69">
                  <c:v>0.18545267575594629</c:v>
                </c:pt>
                <c:pt idx="70">
                  <c:v>0.24434845081506484</c:v>
                </c:pt>
                <c:pt idx="71">
                  <c:v>0.30324422587418337</c:v>
                </c:pt>
                <c:pt idx="72">
                  <c:v>0.36214000093330129</c:v>
                </c:pt>
                <c:pt idx="73">
                  <c:v>0.42103577599241926</c:v>
                </c:pt>
                <c:pt idx="74">
                  <c:v>0.52724930755657395</c:v>
                </c:pt>
                <c:pt idx="75">
                  <c:v>0.73672720960462246</c:v>
                </c:pt>
                <c:pt idx="76">
                  <c:v>0.94620511165267118</c:v>
                </c:pt>
                <c:pt idx="77">
                  <c:v>1.1556830137007221</c:v>
                </c:pt>
                <c:pt idx="78">
                  <c:v>1.3651609157487707</c:v>
                </c:pt>
                <c:pt idx="79">
                  <c:v>1.5746388177968194</c:v>
                </c:pt>
                <c:pt idx="80">
                  <c:v>1.7841167198448684</c:v>
                </c:pt>
                <c:pt idx="81">
                  <c:v>1.9935946218929188</c:v>
                </c:pt>
                <c:pt idx="82">
                  <c:v>2.3457927433909611</c:v>
                </c:pt>
                <c:pt idx="83">
                  <c:v>2.8080372690393736</c:v>
                </c:pt>
                <c:pt idx="84">
                  <c:v>3.2702817946877865</c:v>
                </c:pt>
                <c:pt idx="85">
                  <c:v>3.7325263203361967</c:v>
                </c:pt>
                <c:pt idx="86">
                  <c:v>4.194770845984606</c:v>
                </c:pt>
                <c:pt idx="87">
                  <c:v>4.6570153716330216</c:v>
                </c:pt>
                <c:pt idx="88">
                  <c:v>4.9080030882296555</c:v>
                </c:pt>
                <c:pt idx="89">
                  <c:v>5.3626130754163013</c:v>
                </c:pt>
                <c:pt idx="90">
                  <c:v>5.8172230626029471</c:v>
                </c:pt>
                <c:pt idx="91">
                  <c:v>6.5370162727420071</c:v>
                </c:pt>
                <c:pt idx="92">
                  <c:v>7.2568094828810628</c:v>
                </c:pt>
                <c:pt idx="93">
                  <c:v>7.9766026930201264</c:v>
                </c:pt>
                <c:pt idx="94">
                  <c:v>8.6963959031591838</c:v>
                </c:pt>
                <c:pt idx="95">
                  <c:v>9.4161891132982429</c:v>
                </c:pt>
                <c:pt idx="96">
                  <c:v>10.135982323437302</c:v>
                </c:pt>
                <c:pt idx="97">
                  <c:v>9.3012088113727849</c:v>
                </c:pt>
                <c:pt idx="98">
                  <c:v>9.969740784914503</c:v>
                </c:pt>
                <c:pt idx="99">
                  <c:v>10.638272758456207</c:v>
                </c:pt>
                <c:pt idx="100">
                  <c:v>11.401995625558287</c:v>
                </c:pt>
                <c:pt idx="101">
                  <c:v>12.248581845620421</c:v>
                </c:pt>
                <c:pt idx="102">
                  <c:v>13.095168065682564</c:v>
                </c:pt>
                <c:pt idx="103">
                  <c:v>13.941754285744699</c:v>
                </c:pt>
                <c:pt idx="104">
                  <c:v>14.78834050580684</c:v>
                </c:pt>
                <c:pt idx="105">
                  <c:v>15.634926725868985</c:v>
                </c:pt>
                <c:pt idx="106">
                  <c:v>16.481512945931108</c:v>
                </c:pt>
                <c:pt idx="107">
                  <c:v>12.311571218853485</c:v>
                </c:pt>
                <c:pt idx="108">
                  <c:v>13.007575311926693</c:v>
                </c:pt>
                <c:pt idx="109">
                  <c:v>13.703579404999903</c:v>
                </c:pt>
                <c:pt idx="110">
                  <c:v>14.405094252600374</c:v>
                </c:pt>
                <c:pt idx="111">
                  <c:v>15.175818652144596</c:v>
                </c:pt>
                <c:pt idx="112">
                  <c:v>15.946543051688788</c:v>
                </c:pt>
                <c:pt idx="113">
                  <c:v>16.717267451233006</c:v>
                </c:pt>
                <c:pt idx="114">
                  <c:v>17.487991850777217</c:v>
                </c:pt>
                <c:pt idx="115">
                  <c:v>18.258716250321427</c:v>
                </c:pt>
                <c:pt idx="116">
                  <c:v>19.029440649865649</c:v>
                </c:pt>
                <c:pt idx="117">
                  <c:v>19.800165049409856</c:v>
                </c:pt>
                <c:pt idx="118">
                  <c:v>11.328570779891033</c:v>
                </c:pt>
                <c:pt idx="119">
                  <c:v>11.846528555834873</c:v>
                </c:pt>
                <c:pt idx="120">
                  <c:v>12.364486331778723</c:v>
                </c:pt>
                <c:pt idx="121">
                  <c:v>12.882444107722575</c:v>
                </c:pt>
                <c:pt idx="122">
                  <c:v>13.409588517807494</c:v>
                </c:pt>
                <c:pt idx="123">
                  <c:v>13.945464185335284</c:v>
                </c:pt>
                <c:pt idx="124">
                  <c:v>14.481339852863071</c:v>
                </c:pt>
                <c:pt idx="125">
                  <c:v>15.01721552039084</c:v>
                </c:pt>
                <c:pt idx="126">
                  <c:v>15.553091187918627</c:v>
                </c:pt>
                <c:pt idx="127">
                  <c:v>16.088966855446408</c:v>
                </c:pt>
                <c:pt idx="128">
                  <c:v>16.624842522974191</c:v>
                </c:pt>
                <c:pt idx="129">
                  <c:v>17.160718190501978</c:v>
                </c:pt>
                <c:pt idx="130">
                  <c:v>17.696593858029761</c:v>
                </c:pt>
                <c:pt idx="131">
                  <c:v>7.3599573845085349</c:v>
                </c:pt>
                <c:pt idx="132">
                  <c:v>7.6306498290838967</c:v>
                </c:pt>
                <c:pt idx="133">
                  <c:v>7.9013422736592656</c:v>
                </c:pt>
                <c:pt idx="134">
                  <c:v>8.1720347182346345</c:v>
                </c:pt>
                <c:pt idx="135">
                  <c:v>8.4441102818344582</c:v>
                </c:pt>
                <c:pt idx="136">
                  <c:v>8.7166825332336337</c:v>
                </c:pt>
                <c:pt idx="137">
                  <c:v>8.9892547846328057</c:v>
                </c:pt>
                <c:pt idx="138">
                  <c:v>9.2618270360319706</c:v>
                </c:pt>
                <c:pt idx="139">
                  <c:v>9.5343992874311443</c:v>
                </c:pt>
                <c:pt idx="140">
                  <c:v>9.8069715388303198</c:v>
                </c:pt>
                <c:pt idx="141">
                  <c:v>10.07954379022949</c:v>
                </c:pt>
                <c:pt idx="142">
                  <c:v>10.352116041628664</c:v>
                </c:pt>
                <c:pt idx="143">
                  <c:v>10.624688293027841</c:v>
                </c:pt>
                <c:pt idx="144">
                  <c:v>2.9676828039677683</c:v>
                </c:pt>
                <c:pt idx="145">
                  <c:v>3.0622008088465109</c:v>
                </c:pt>
                <c:pt idx="146">
                  <c:v>3.1567188137252549</c:v>
                </c:pt>
                <c:pt idx="147">
                  <c:v>3.2512368186039988</c:v>
                </c:pt>
                <c:pt idx="148">
                  <c:v>3.3457548234827423</c:v>
                </c:pt>
                <c:pt idx="149">
                  <c:v>3.4402728283614867</c:v>
                </c:pt>
                <c:pt idx="150">
                  <c:v>3.5347908332402294</c:v>
                </c:pt>
                <c:pt idx="151">
                  <c:v>3.629308838118972</c:v>
                </c:pt>
                <c:pt idx="152">
                  <c:v>3.7238268429977164</c:v>
                </c:pt>
                <c:pt idx="153">
                  <c:v>3.8183448478764608</c:v>
                </c:pt>
                <c:pt idx="154">
                  <c:v>3.9128628527552034</c:v>
                </c:pt>
                <c:pt idx="155">
                  <c:v>4.0073808576339482</c:v>
                </c:pt>
                <c:pt idx="156">
                  <c:v>4.1018988625126935</c:v>
                </c:pt>
                <c:pt idx="157">
                  <c:v>4.1964168673914335</c:v>
                </c:pt>
                <c:pt idx="158">
                  <c:v>4.2909348722701779</c:v>
                </c:pt>
                <c:pt idx="159">
                  <c:v>0.71864710554237321</c:v>
                </c:pt>
                <c:pt idx="160">
                  <c:v>0.73844480395011114</c:v>
                </c:pt>
                <c:pt idx="161">
                  <c:v>0.7582425023578494</c:v>
                </c:pt>
                <c:pt idx="162">
                  <c:v>0.77804020076558722</c:v>
                </c:pt>
                <c:pt idx="163">
                  <c:v>0.79783789917332493</c:v>
                </c:pt>
                <c:pt idx="164">
                  <c:v>0.81763559758106241</c:v>
                </c:pt>
                <c:pt idx="165">
                  <c:v>0.83743329598880045</c:v>
                </c:pt>
                <c:pt idx="166">
                  <c:v>0.85723099439653816</c:v>
                </c:pt>
                <c:pt idx="167">
                  <c:v>0.87702869280427664</c:v>
                </c:pt>
                <c:pt idx="168">
                  <c:v>0.89682639121201446</c:v>
                </c:pt>
                <c:pt idx="169">
                  <c:v>0.91662408961975217</c:v>
                </c:pt>
                <c:pt idx="170">
                  <c:v>0.93642178802748977</c:v>
                </c:pt>
                <c:pt idx="171">
                  <c:v>0.95621948643522769</c:v>
                </c:pt>
                <c:pt idx="172">
                  <c:v>0.97601718484296585</c:v>
                </c:pt>
                <c:pt idx="173">
                  <c:v>0.99581488325070333</c:v>
                </c:pt>
                <c:pt idx="174">
                  <c:v>1.0156125816584411</c:v>
                </c:pt>
                <c:pt idx="175">
                  <c:v>1.0354102800661795</c:v>
                </c:pt>
                <c:pt idx="176">
                  <c:v>7.8455198800432155E-2</c:v>
                </c:pt>
                <c:pt idx="177">
                  <c:v>8.0335005624236511E-2</c:v>
                </c:pt>
                <c:pt idx="178">
                  <c:v>8.2214812448040853E-2</c:v>
                </c:pt>
                <c:pt idx="179">
                  <c:v>8.4094619271845195E-2</c:v>
                </c:pt>
                <c:pt idx="180">
                  <c:v>8.5974426095649537E-2</c:v>
                </c:pt>
                <c:pt idx="181">
                  <c:v>8.7854232919453892E-2</c:v>
                </c:pt>
                <c:pt idx="182">
                  <c:v>8.9734039743258248E-2</c:v>
                </c:pt>
                <c:pt idx="183">
                  <c:v>9.1613846567062548E-2</c:v>
                </c:pt>
                <c:pt idx="184">
                  <c:v>9.3493653390866877E-2</c:v>
                </c:pt>
                <c:pt idx="185">
                  <c:v>9.5373460214671232E-2</c:v>
                </c:pt>
                <c:pt idx="186">
                  <c:v>9.7253267038475588E-2</c:v>
                </c:pt>
                <c:pt idx="187">
                  <c:v>9.913307386227993E-2</c:v>
                </c:pt>
                <c:pt idx="188">
                  <c:v>0.10101288068608427</c:v>
                </c:pt>
                <c:pt idx="189">
                  <c:v>0.10289268750988859</c:v>
                </c:pt>
                <c:pt idx="190">
                  <c:v>0.10477249433369291</c:v>
                </c:pt>
                <c:pt idx="191">
                  <c:v>0.10665230115749727</c:v>
                </c:pt>
                <c:pt idx="192">
                  <c:v>0.10853210798130161</c:v>
                </c:pt>
                <c:pt idx="193">
                  <c:v>0.11041191480510597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D-2649-B88D-97778B708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359536"/>
        <c:axId val="1377361168"/>
      </c:lineChart>
      <c:catAx>
        <c:axId val="137735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7361168"/>
        <c:crosses val="autoZero"/>
        <c:auto val="1"/>
        <c:lblAlgn val="ctr"/>
        <c:lblOffset val="100"/>
        <c:noMultiLvlLbl val="0"/>
      </c:catAx>
      <c:valAx>
        <c:axId val="13773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735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15</xdr:row>
          <xdr:rowOff>152400</xdr:rowOff>
        </xdr:from>
        <xdr:to>
          <xdr:col>6</xdr:col>
          <xdr:colOff>12700</xdr:colOff>
          <xdr:row>21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10</xdr:row>
          <xdr:rowOff>177800</xdr:rowOff>
        </xdr:from>
        <xdr:to>
          <xdr:col>6</xdr:col>
          <xdr:colOff>215900</xdr:colOff>
          <xdr:row>17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14</xdr:row>
          <xdr:rowOff>50800</xdr:rowOff>
        </xdr:from>
        <xdr:to>
          <xdr:col>4</xdr:col>
          <xdr:colOff>774700</xdr:colOff>
          <xdr:row>21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38100</xdr:rowOff>
        </xdr:from>
        <xdr:to>
          <xdr:col>5</xdr:col>
          <xdr:colOff>1066800</xdr:colOff>
          <xdr:row>17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664386</xdr:colOff>
      <xdr:row>35</xdr:row>
      <xdr:rowOff>176296</xdr:rowOff>
    </xdr:from>
    <xdr:to>
      <xdr:col>10</xdr:col>
      <xdr:colOff>47368</xdr:colOff>
      <xdr:row>48</xdr:row>
      <xdr:rowOff>29029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31"/>
  <sheetViews>
    <sheetView tabSelected="1" workbookViewId="0">
      <selection activeCell="I16" sqref="I16"/>
    </sheetView>
  </sheetViews>
  <sheetFormatPr baseColWidth="10" defaultRowHeight="15"/>
  <cols>
    <col min="1" max="1" width="28.5" customWidth="1"/>
    <col min="3" max="3" width="14.6640625" customWidth="1"/>
    <col min="5" max="6" width="11.5" customWidth="1"/>
  </cols>
  <sheetData>
    <row r="1" spans="1:11" ht="16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 ht="16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</row>
    <row r="3" spans="1:11" ht="16">
      <c r="A3" s="34" t="s">
        <v>1</v>
      </c>
      <c r="B3" s="23"/>
      <c r="C3" s="23"/>
      <c r="D3" s="23"/>
      <c r="E3" s="24" t="s">
        <v>2</v>
      </c>
      <c r="F3" s="24"/>
      <c r="G3" s="23"/>
      <c r="H3" s="23"/>
      <c r="I3" s="25" t="s">
        <v>20</v>
      </c>
      <c r="J3" s="23"/>
      <c r="K3" s="23"/>
    </row>
    <row r="4" spans="1:11" ht="16">
      <c r="A4" s="40" t="s">
        <v>34</v>
      </c>
      <c r="B4" s="40" t="s">
        <v>3</v>
      </c>
      <c r="C4" s="26">
        <f>EXP(G4*SQRT(G7))</f>
        <v>1.1630569813423823</v>
      </c>
      <c r="D4" s="23"/>
      <c r="E4" s="49" t="s">
        <v>40</v>
      </c>
      <c r="F4" s="50" t="s">
        <v>4</v>
      </c>
      <c r="G4" s="27">
        <v>0.37</v>
      </c>
      <c r="H4" s="23"/>
      <c r="I4" s="28"/>
      <c r="J4" s="23" t="s">
        <v>5</v>
      </c>
      <c r="K4" s="23"/>
    </row>
    <row r="5" spans="1:11" ht="16">
      <c r="A5" s="40" t="s">
        <v>35</v>
      </c>
      <c r="B5" s="40" t="s">
        <v>6</v>
      </c>
      <c r="C5" s="26">
        <f>EXP(-G4*SQRT(G7))</f>
        <v>0.85980310168966578</v>
      </c>
      <c r="D5" s="23"/>
      <c r="E5" s="23"/>
      <c r="F5" s="23"/>
      <c r="G5" s="23"/>
      <c r="H5" s="23"/>
      <c r="I5" s="29"/>
      <c r="J5" s="23" t="s">
        <v>7</v>
      </c>
      <c r="K5" s="23"/>
    </row>
    <row r="6" spans="1:11" ht="16">
      <c r="A6" s="41" t="s">
        <v>27</v>
      </c>
      <c r="B6" s="41" t="s">
        <v>8</v>
      </c>
      <c r="C6" s="27">
        <v>0.05</v>
      </c>
      <c r="D6" s="23"/>
      <c r="E6" s="23"/>
      <c r="F6" s="23"/>
      <c r="G6" s="23"/>
      <c r="H6" s="23"/>
      <c r="I6" s="30"/>
      <c r="J6" s="23" t="s">
        <v>9</v>
      </c>
      <c r="K6" s="23"/>
    </row>
    <row r="7" spans="1:11" ht="16">
      <c r="A7" s="41" t="s">
        <v>32</v>
      </c>
      <c r="B7" s="41" t="s">
        <v>22</v>
      </c>
      <c r="C7" s="27">
        <v>3</v>
      </c>
      <c r="D7" s="31"/>
      <c r="E7" s="48" t="s">
        <v>10</v>
      </c>
      <c r="F7" s="51" t="s">
        <v>41</v>
      </c>
      <c r="G7" s="52">
        <f>$C$14/$C$7</f>
        <v>0.16666666666666666</v>
      </c>
      <c r="H7" s="23"/>
      <c r="I7" s="32"/>
      <c r="J7" s="23" t="s">
        <v>11</v>
      </c>
      <c r="K7" s="23"/>
    </row>
    <row r="8" spans="1:11" ht="16">
      <c r="A8" s="40"/>
      <c r="B8" s="40"/>
      <c r="C8" s="27"/>
      <c r="D8" s="23"/>
      <c r="E8" s="23"/>
      <c r="F8" s="23"/>
      <c r="G8" s="23"/>
      <c r="H8" s="23"/>
      <c r="I8" s="23"/>
      <c r="J8" s="23"/>
      <c r="K8" s="23"/>
    </row>
    <row r="9" spans="1:11" ht="16">
      <c r="A9" s="42"/>
      <c r="B9" s="40"/>
      <c r="C9" s="27"/>
      <c r="D9" s="23"/>
      <c r="E9" s="23"/>
      <c r="F9" s="23"/>
      <c r="G9" s="23"/>
      <c r="H9" s="23"/>
      <c r="I9" s="23"/>
      <c r="J9" s="23"/>
      <c r="K9" s="23"/>
    </row>
    <row r="10" spans="1:11" ht="16">
      <c r="A10" s="40" t="s">
        <v>14</v>
      </c>
      <c r="B10" s="40" t="s">
        <v>24</v>
      </c>
      <c r="C10" s="27">
        <v>100</v>
      </c>
      <c r="D10" s="23"/>
      <c r="E10" s="23"/>
      <c r="F10" s="23"/>
      <c r="G10" s="23"/>
      <c r="H10" s="23"/>
      <c r="I10" s="23"/>
      <c r="J10" s="23"/>
      <c r="K10" s="23"/>
    </row>
    <row r="11" spans="1:11" ht="16">
      <c r="A11" s="41" t="s">
        <v>25</v>
      </c>
      <c r="B11" s="40" t="s">
        <v>26</v>
      </c>
      <c r="C11" s="27">
        <v>110</v>
      </c>
      <c r="D11" s="23"/>
      <c r="E11" s="23"/>
      <c r="F11" s="23"/>
      <c r="G11" s="23"/>
      <c r="H11" s="23"/>
      <c r="I11" s="23"/>
      <c r="J11" s="23"/>
      <c r="K11" s="23"/>
    </row>
    <row r="12" spans="1:11" ht="16">
      <c r="A12" s="41" t="s">
        <v>33</v>
      </c>
      <c r="B12" s="41" t="s">
        <v>21</v>
      </c>
      <c r="C12" s="27">
        <v>0.05</v>
      </c>
      <c r="D12" s="23"/>
      <c r="E12" s="23"/>
      <c r="F12" s="23"/>
      <c r="G12" s="23"/>
      <c r="H12" s="23"/>
      <c r="I12" s="23"/>
      <c r="J12" s="23"/>
      <c r="K12" s="23"/>
    </row>
    <row r="13" spans="1:11" ht="16">
      <c r="A13" s="41" t="s">
        <v>28</v>
      </c>
      <c r="B13" s="41" t="s">
        <v>29</v>
      </c>
      <c r="C13" s="27">
        <f>C12-C6</f>
        <v>0</v>
      </c>
      <c r="D13" s="23"/>
      <c r="E13" s="23"/>
      <c r="F13" s="23"/>
      <c r="G13" s="23"/>
      <c r="H13" s="23"/>
      <c r="I13" s="23"/>
      <c r="J13" s="23"/>
      <c r="K13" s="23"/>
    </row>
    <row r="14" spans="1:11" ht="16">
      <c r="A14" s="41" t="s">
        <v>30</v>
      </c>
      <c r="B14" s="41" t="s">
        <v>31</v>
      </c>
      <c r="C14" s="27">
        <v>0.5</v>
      </c>
      <c r="D14" s="23"/>
      <c r="E14" s="23"/>
      <c r="F14" s="23"/>
      <c r="G14" s="23"/>
      <c r="H14" s="23"/>
      <c r="I14" s="23"/>
      <c r="J14" s="23"/>
      <c r="K14" s="23"/>
    </row>
    <row r="15" spans="1:11" ht="16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1" ht="19">
      <c r="A16" s="46" t="s">
        <v>39</v>
      </c>
      <c r="B16" s="44" t="s">
        <v>36</v>
      </c>
      <c r="C16" s="44" t="s">
        <v>37</v>
      </c>
      <c r="D16" s="23"/>
      <c r="E16" s="23"/>
      <c r="F16" s="23"/>
      <c r="G16" s="23"/>
      <c r="H16" s="23"/>
      <c r="I16" s="23"/>
      <c r="J16" s="23"/>
      <c r="K16" s="23"/>
    </row>
    <row r="17" spans="1:11" ht="16">
      <c r="A17" s="43" t="s">
        <v>42</v>
      </c>
      <c r="B17" s="37">
        <f>Binomial_Europe("Call",C10,C11,C6,G4,C12,C14,C7)</f>
        <v>7.6860321410153789</v>
      </c>
      <c r="C17" s="38">
        <f>Binomial_Europe("Put",C10,C11,C6,G4,C12,C14,C7)</f>
        <v>14.970122464131968</v>
      </c>
      <c r="D17" s="23"/>
      <c r="E17" s="23"/>
      <c r="F17" s="23"/>
      <c r="G17" s="23"/>
      <c r="H17" s="23"/>
      <c r="I17" s="23"/>
      <c r="J17" s="23"/>
      <c r="K17" s="23"/>
    </row>
    <row r="18" spans="1:11" ht="16">
      <c r="A18" s="43" t="s">
        <v>15</v>
      </c>
      <c r="B18" s="37">
        <f>BS("Call",C10,C11,C6,G4,C12,C14)</f>
        <v>7.5296169032117817</v>
      </c>
      <c r="C18" s="38">
        <f>BS("Put",C10,C11,C6,G4,C12,C14)</f>
        <v>14.813707226328383</v>
      </c>
      <c r="D18" s="23"/>
      <c r="E18" s="23"/>
      <c r="F18" s="23"/>
      <c r="G18" s="23"/>
      <c r="H18" s="23"/>
      <c r="I18" s="23"/>
      <c r="J18" s="23"/>
      <c r="K18" s="23"/>
    </row>
    <row r="19" spans="1:11" ht="16">
      <c r="A19" s="23"/>
      <c r="B19" s="33"/>
      <c r="C19" s="23"/>
      <c r="D19" s="23"/>
      <c r="E19" s="23"/>
      <c r="F19" s="23"/>
      <c r="G19" s="23"/>
      <c r="H19" s="23"/>
      <c r="I19" s="23"/>
      <c r="J19" s="23"/>
      <c r="K19" s="23"/>
    </row>
    <row r="20" spans="1:11" ht="16">
      <c r="A20" s="23"/>
      <c r="B20" s="33"/>
      <c r="C20" s="23"/>
      <c r="D20" s="23"/>
      <c r="E20" s="23"/>
      <c r="F20" s="23"/>
      <c r="G20" s="23"/>
      <c r="H20" s="23"/>
      <c r="I20" s="23"/>
      <c r="J20" s="23"/>
      <c r="K20" s="23"/>
    </row>
    <row r="21" spans="1:11" ht="16">
      <c r="A21" s="47" t="s">
        <v>16</v>
      </c>
      <c r="B21" s="44" t="s">
        <v>36</v>
      </c>
      <c r="C21" s="45" t="s">
        <v>38</v>
      </c>
      <c r="D21" s="23"/>
      <c r="E21" s="23"/>
      <c r="F21" s="23"/>
      <c r="G21" s="23"/>
      <c r="H21" s="23"/>
      <c r="I21" s="23"/>
      <c r="J21" s="23"/>
      <c r="K21" s="23"/>
    </row>
    <row r="22" spans="1:11" ht="16">
      <c r="A22" s="43" t="s">
        <v>17</v>
      </c>
      <c r="B22" s="35">
        <f>ABS(B17-B18)</f>
        <v>0.15641523780359723</v>
      </c>
      <c r="C22" s="38">
        <f>ABS(C17-C18)</f>
        <v>0.15641523780358568</v>
      </c>
      <c r="D22" s="23"/>
      <c r="E22" s="23"/>
      <c r="F22" s="23"/>
      <c r="G22" s="23"/>
      <c r="H22" s="23"/>
      <c r="I22" s="23"/>
      <c r="J22" s="23"/>
      <c r="K22" s="23"/>
    </row>
    <row r="23" spans="1:11" ht="16">
      <c r="A23" s="43" t="s">
        <v>18</v>
      </c>
      <c r="B23" s="36">
        <f>B22/B18</f>
        <v>2.0773332802214387E-2</v>
      </c>
      <c r="C23" s="39">
        <f>C22/C18</f>
        <v>1.0558817952442659E-2</v>
      </c>
      <c r="D23" s="23"/>
      <c r="E23" s="23"/>
      <c r="F23" s="23"/>
      <c r="G23" s="23"/>
      <c r="H23" s="23"/>
      <c r="I23" s="23"/>
      <c r="J23" s="23"/>
      <c r="K23" s="23"/>
    </row>
    <row r="24" spans="1:11" ht="16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</row>
    <row r="25" spans="1:11">
      <c r="E25" s="106"/>
      <c r="F25" s="106"/>
      <c r="G25" s="106"/>
    </row>
    <row r="26" spans="1:11">
      <c r="H26" s="8"/>
    </row>
    <row r="27" spans="1:11">
      <c r="E27" s="106"/>
      <c r="F27" s="106"/>
      <c r="G27" s="106"/>
      <c r="H27" s="8"/>
    </row>
    <row r="28" spans="1:11">
      <c r="E28" s="106"/>
      <c r="F28" s="106"/>
      <c r="G28" s="106"/>
      <c r="H28" s="8"/>
    </row>
    <row r="29" spans="1:11">
      <c r="E29" s="106"/>
      <c r="F29" s="106"/>
      <c r="G29" s="106"/>
      <c r="H29" s="8"/>
    </row>
    <row r="30" spans="1:11">
      <c r="E30" s="106"/>
      <c r="F30" s="106"/>
      <c r="G30" s="106"/>
      <c r="H30" s="8"/>
    </row>
    <row r="31" spans="1:11">
      <c r="E31" s="106"/>
      <c r="F31" s="106"/>
      <c r="G31" s="106"/>
      <c r="H31" s="8"/>
    </row>
  </sheetData>
  <mergeCells count="6">
    <mergeCell ref="E31:G31"/>
    <mergeCell ref="E25:G25"/>
    <mergeCell ref="E27:G27"/>
    <mergeCell ref="E28:G28"/>
    <mergeCell ref="E29:G29"/>
    <mergeCell ref="E30:G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">
                <anchor moveWithCells="1" sizeWithCells="1">
                  <from>
                    <xdr:col>3</xdr:col>
                    <xdr:colOff>596900</xdr:colOff>
                    <xdr:row>15</xdr:row>
                    <xdr:rowOff>152400</xdr:rowOff>
                  </from>
                  <to>
                    <xdr:col>6</xdr:col>
                    <xdr:colOff>12700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K23"/>
  <sheetViews>
    <sheetView workbookViewId="0">
      <selection activeCell="D10" sqref="D10"/>
    </sheetView>
  </sheetViews>
  <sheetFormatPr baseColWidth="10" defaultRowHeight="15"/>
  <cols>
    <col min="1" max="1" width="24.33203125" customWidth="1"/>
    <col min="2" max="2" width="12.6640625" customWidth="1"/>
    <col min="3" max="3" width="11.6640625" bestFit="1" customWidth="1"/>
  </cols>
  <sheetData>
    <row r="1" spans="1:11" ht="21">
      <c r="A1" s="85" t="s">
        <v>19</v>
      </c>
      <c r="B1" s="86"/>
      <c r="C1" s="86"/>
      <c r="D1" s="86"/>
      <c r="E1" s="86"/>
      <c r="F1" s="86"/>
    </row>
    <row r="3" spans="1:11" ht="18">
      <c r="A3" s="71" t="s">
        <v>1</v>
      </c>
      <c r="E3" s="2" t="s">
        <v>2</v>
      </c>
      <c r="F3" s="2"/>
      <c r="I3" s="6"/>
    </row>
    <row r="4" spans="1:11" ht="16">
      <c r="A4" s="98" t="s">
        <v>34</v>
      </c>
      <c r="B4" s="98" t="s">
        <v>3</v>
      </c>
      <c r="C4" s="72">
        <f>EXP(G4*SQRT(G7))</f>
        <v>1.1630569813423823</v>
      </c>
      <c r="E4" s="73" t="s">
        <v>43</v>
      </c>
      <c r="F4" s="73" t="s">
        <v>4</v>
      </c>
      <c r="G4" s="76">
        <v>0.37</v>
      </c>
    </row>
    <row r="5" spans="1:11" ht="16">
      <c r="A5" s="98" t="s">
        <v>35</v>
      </c>
      <c r="B5" s="98" t="s">
        <v>6</v>
      </c>
      <c r="C5" s="72">
        <f>EXP(-G4*SQRT(G7))</f>
        <v>0.85980310168966578</v>
      </c>
      <c r="D5" s="6"/>
    </row>
    <row r="6" spans="1:11" ht="16">
      <c r="A6" s="99" t="s">
        <v>27</v>
      </c>
      <c r="B6" s="99" t="s">
        <v>8</v>
      </c>
      <c r="C6" s="54">
        <v>0.05</v>
      </c>
      <c r="K6" s="2"/>
    </row>
    <row r="7" spans="1:11" ht="16">
      <c r="A7" s="99" t="s">
        <v>32</v>
      </c>
      <c r="B7" s="99" t="s">
        <v>22</v>
      </c>
      <c r="C7" s="54">
        <v>3</v>
      </c>
      <c r="D7" s="4"/>
      <c r="E7" s="74" t="s">
        <v>10</v>
      </c>
      <c r="F7" s="74" t="s">
        <v>44</v>
      </c>
      <c r="G7" s="75">
        <f>$C$14/$C$7</f>
        <v>0.16666666666666666</v>
      </c>
      <c r="K7" s="2"/>
    </row>
    <row r="8" spans="1:11" ht="16">
      <c r="A8" s="65"/>
      <c r="B8" s="65"/>
    </row>
    <row r="9" spans="1:11" ht="16">
      <c r="A9" s="65"/>
      <c r="B9" s="65"/>
    </row>
    <row r="10" spans="1:11" ht="16">
      <c r="A10" s="98" t="s">
        <v>14</v>
      </c>
      <c r="B10" s="98" t="s">
        <v>24</v>
      </c>
      <c r="C10" s="54">
        <v>100</v>
      </c>
    </row>
    <row r="11" spans="1:11" ht="16">
      <c r="A11" s="99" t="s">
        <v>25</v>
      </c>
      <c r="B11" s="98" t="s">
        <v>26</v>
      </c>
      <c r="C11" s="54">
        <v>110</v>
      </c>
    </row>
    <row r="12" spans="1:11" ht="16">
      <c r="A12" s="99" t="s">
        <v>33</v>
      </c>
      <c r="B12" s="99" t="s">
        <v>21</v>
      </c>
      <c r="C12" s="54">
        <v>0.05</v>
      </c>
    </row>
    <row r="13" spans="1:11" ht="16">
      <c r="A13" s="99" t="s">
        <v>28</v>
      </c>
      <c r="B13" s="99" t="s">
        <v>29</v>
      </c>
      <c r="C13" s="54">
        <f>C12-C6</f>
        <v>0</v>
      </c>
    </row>
    <row r="14" spans="1:11" ht="16">
      <c r="A14" s="99" t="s">
        <v>30</v>
      </c>
      <c r="B14" s="99" t="s">
        <v>31</v>
      </c>
      <c r="C14" s="54">
        <v>0.5</v>
      </c>
    </row>
    <row r="15" spans="1:11">
      <c r="A15" s="10"/>
      <c r="B15" s="12"/>
      <c r="C15" s="7"/>
    </row>
    <row r="16" spans="1:11" ht="19">
      <c r="A16" s="68"/>
      <c r="B16" s="77" t="s">
        <v>61</v>
      </c>
      <c r="C16" s="77" t="s">
        <v>62</v>
      </c>
      <c r="D16" s="68"/>
    </row>
    <row r="17" spans="1:4" ht="19">
      <c r="A17" s="78" t="s">
        <v>63</v>
      </c>
      <c r="B17" s="87">
        <f>Binomial_US("Call",C10,C11,C6,G4,C12,C14,C7)</f>
        <v>7.6860321410153789</v>
      </c>
      <c r="C17" s="88">
        <f>Binomial_US("Put",C10,C11,C6,G4,C12,C14,C7)</f>
        <v>15.20372097349008</v>
      </c>
      <c r="D17" s="68"/>
    </row>
    <row r="18" spans="1:4" ht="19">
      <c r="A18" s="78" t="s">
        <v>15</v>
      </c>
      <c r="B18" s="87">
        <f>BS(B16,C10,C11,C6,G4,C12,C14)</f>
        <v>7.5296169032117817</v>
      </c>
      <c r="C18" s="88">
        <f>BS(C16,C10,C11,C6,G4,C12,C14)</f>
        <v>14.813707226328383</v>
      </c>
      <c r="D18" s="68"/>
    </row>
    <row r="19" spans="1:4" ht="19">
      <c r="A19" s="68"/>
      <c r="B19" s="68"/>
      <c r="C19" s="68"/>
      <c r="D19" s="68"/>
    </row>
    <row r="20" spans="1:4" ht="19">
      <c r="A20" s="68"/>
      <c r="B20" s="68"/>
      <c r="C20" s="68"/>
      <c r="D20" s="68"/>
    </row>
    <row r="21" spans="1:4" ht="19">
      <c r="A21" s="83" t="s">
        <v>16</v>
      </c>
      <c r="B21" s="77" t="s">
        <v>61</v>
      </c>
      <c r="C21" s="77" t="s">
        <v>62</v>
      </c>
      <c r="D21" s="68"/>
    </row>
    <row r="22" spans="1:4" ht="19">
      <c r="A22" s="78" t="s">
        <v>17</v>
      </c>
      <c r="B22" s="79">
        <f>ABS(B17-B18)</f>
        <v>0.15641523780359723</v>
      </c>
      <c r="C22" s="80">
        <f>ABS(C17-C18)</f>
        <v>0.39001374716169757</v>
      </c>
      <c r="D22" s="68"/>
    </row>
    <row r="23" spans="1:4" ht="19">
      <c r="A23" s="78" t="s">
        <v>18</v>
      </c>
      <c r="B23" s="81">
        <f>B22/B18</f>
        <v>2.0773332802214387E-2</v>
      </c>
      <c r="C23" s="82">
        <f>C22/C18</f>
        <v>2.6327896265461941E-2</v>
      </c>
      <c r="D23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efresh">
                <anchor moveWithCells="1" sizeWithCells="1">
                  <from>
                    <xdr:col>4</xdr:col>
                    <xdr:colOff>800100</xdr:colOff>
                    <xdr:row>10</xdr:row>
                    <xdr:rowOff>177800</xdr:rowOff>
                  </from>
                  <to>
                    <xdr:col>6</xdr:col>
                    <xdr:colOff>215900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28"/>
  <sheetViews>
    <sheetView workbookViewId="0">
      <selection activeCell="B20" sqref="B20"/>
    </sheetView>
  </sheetViews>
  <sheetFormatPr baseColWidth="10" defaultRowHeight="15"/>
  <cols>
    <col min="1" max="1" width="19.1640625" customWidth="1"/>
    <col min="2" max="2" width="12.33203125" bestFit="1" customWidth="1"/>
  </cols>
  <sheetData>
    <row r="1" spans="1:7" ht="18">
      <c r="A1" s="1" t="s">
        <v>23</v>
      </c>
    </row>
    <row r="3" spans="1:7" ht="16">
      <c r="A3" s="56" t="s">
        <v>1</v>
      </c>
      <c r="B3" s="57"/>
      <c r="E3" s="24" t="s">
        <v>2</v>
      </c>
      <c r="F3" s="24"/>
      <c r="G3" s="25"/>
    </row>
    <row r="4" spans="1:7" ht="16">
      <c r="A4" s="58" t="s">
        <v>34</v>
      </c>
      <c r="B4" s="53" t="s">
        <v>3</v>
      </c>
      <c r="C4" s="55">
        <f>EXP(G4*SQRT(2*G8))</f>
        <v>1.2381515718460714</v>
      </c>
      <c r="E4" s="89" t="s">
        <v>43</v>
      </c>
      <c r="F4" s="89" t="s">
        <v>4</v>
      </c>
      <c r="G4" s="90">
        <v>0.37</v>
      </c>
    </row>
    <row r="5" spans="1:7" ht="16">
      <c r="A5" s="58" t="s">
        <v>35</v>
      </c>
      <c r="B5" s="53" t="s">
        <v>6</v>
      </c>
      <c r="C5" s="55">
        <f>EXP(-G4*SQRT(G8))</f>
        <v>0.85980310168966578</v>
      </c>
      <c r="E5" s="25"/>
      <c r="F5" s="25"/>
      <c r="G5" s="25"/>
    </row>
    <row r="6" spans="1:7" ht="16">
      <c r="A6" s="59" t="s">
        <v>27</v>
      </c>
      <c r="B6" s="60" t="s">
        <v>8</v>
      </c>
      <c r="C6" s="62">
        <v>0.05</v>
      </c>
      <c r="E6" s="25"/>
      <c r="F6" s="25"/>
      <c r="G6" s="25"/>
    </row>
    <row r="7" spans="1:7" ht="16">
      <c r="A7" s="59" t="s">
        <v>32</v>
      </c>
      <c r="B7" s="60" t="s">
        <v>22</v>
      </c>
      <c r="C7" s="62">
        <v>3</v>
      </c>
      <c r="E7" s="25"/>
      <c r="F7" s="25"/>
      <c r="G7" s="25"/>
    </row>
    <row r="8" spans="1:7" ht="16">
      <c r="A8" s="58"/>
      <c r="B8" s="53"/>
      <c r="C8" s="53"/>
      <c r="D8" s="4"/>
      <c r="E8" s="91" t="s">
        <v>10</v>
      </c>
      <c r="F8" s="91" t="s">
        <v>44</v>
      </c>
      <c r="G8" s="92">
        <f>$C$14/$C$7</f>
        <v>0.16666666666666666</v>
      </c>
    </row>
    <row r="9" spans="1:7">
      <c r="A9" s="61" t="s">
        <v>12</v>
      </c>
      <c r="B9" s="53"/>
      <c r="C9" s="62">
        <v>1</v>
      </c>
    </row>
    <row r="10" spans="1:7">
      <c r="A10" s="58" t="s">
        <v>14</v>
      </c>
      <c r="B10" s="53" t="s">
        <v>24</v>
      </c>
      <c r="C10" s="62">
        <v>100</v>
      </c>
      <c r="D10" t="s">
        <v>13</v>
      </c>
    </row>
    <row r="11" spans="1:7">
      <c r="A11" s="59" t="s">
        <v>25</v>
      </c>
      <c r="B11" s="53" t="s">
        <v>26</v>
      </c>
      <c r="C11" s="62">
        <v>110</v>
      </c>
    </row>
    <row r="12" spans="1:7">
      <c r="A12" s="59" t="s">
        <v>33</v>
      </c>
      <c r="B12" s="60" t="s">
        <v>21</v>
      </c>
      <c r="C12" s="62">
        <v>0.05</v>
      </c>
    </row>
    <row r="13" spans="1:7">
      <c r="A13" s="59" t="s">
        <v>28</v>
      </c>
      <c r="B13" s="60" t="s">
        <v>29</v>
      </c>
      <c r="C13" s="62">
        <f>C12-C6</f>
        <v>0</v>
      </c>
    </row>
    <row r="14" spans="1:7">
      <c r="A14" s="59" t="s">
        <v>30</v>
      </c>
      <c r="B14" s="60" t="s">
        <v>31</v>
      </c>
      <c r="C14" s="62">
        <v>0.5</v>
      </c>
    </row>
    <row r="15" spans="1:7">
      <c r="A15" s="10"/>
      <c r="B15" s="12"/>
      <c r="C15" s="7"/>
    </row>
    <row r="16" spans="1:7">
      <c r="B16" s="7"/>
    </row>
    <row r="17" spans="1:4">
      <c r="A17" s="2" t="s">
        <v>45</v>
      </c>
      <c r="B17" s="3">
        <f>Trinomial_US("Call",C10,C11,C6,G4,C12,C14,C7)</f>
        <v>7.9184682334942327</v>
      </c>
    </row>
    <row r="18" spans="1:4">
      <c r="A18" s="6"/>
      <c r="B18" s="7"/>
    </row>
    <row r="19" spans="1:4">
      <c r="B19" s="7"/>
    </row>
    <row r="20" spans="1:4">
      <c r="A20" s="13"/>
      <c r="B20" s="15"/>
      <c r="C20" s="16"/>
      <c r="D20" s="16"/>
    </row>
    <row r="21" spans="1:4">
      <c r="A21" s="13"/>
      <c r="B21" s="15"/>
      <c r="C21" s="16"/>
      <c r="D21" s="16"/>
    </row>
    <row r="22" spans="1:4">
      <c r="A22" s="13"/>
      <c r="B22" s="17"/>
      <c r="C22" s="16"/>
      <c r="D22" s="16"/>
    </row>
    <row r="23" spans="1:4">
      <c r="A23" s="13"/>
      <c r="B23" s="17"/>
      <c r="C23" s="16"/>
      <c r="D23" s="16"/>
    </row>
    <row r="24" spans="1:4">
      <c r="A24" s="13"/>
      <c r="B24" s="17"/>
      <c r="C24" s="16"/>
      <c r="D24" s="16"/>
    </row>
    <row r="25" spans="1:4">
      <c r="A25" s="13"/>
      <c r="B25" s="18"/>
      <c r="C25" s="16"/>
      <c r="D25" s="16"/>
    </row>
    <row r="26" spans="1:4">
      <c r="A26" s="14"/>
      <c r="B26" s="19"/>
      <c r="C26" s="16"/>
      <c r="D26" s="16"/>
    </row>
    <row r="27" spans="1:4">
      <c r="A27" s="16"/>
      <c r="B27" s="16"/>
      <c r="C27" s="16"/>
      <c r="D27" s="16"/>
    </row>
    <row r="28" spans="1:4">
      <c r="A28" s="16"/>
      <c r="B28" s="16"/>
      <c r="C28" s="16"/>
      <c r="D28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fresh">
                <anchor moveWithCells="1" sizeWithCells="1">
                  <from>
                    <xdr:col>3</xdr:col>
                    <xdr:colOff>533400</xdr:colOff>
                    <xdr:row>14</xdr:row>
                    <xdr:rowOff>50800</xdr:rowOff>
                  </from>
                  <to>
                    <xdr:col>4</xdr:col>
                    <xdr:colOff>774700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267"/>
  <sheetViews>
    <sheetView zoomScale="75" workbookViewId="0">
      <selection activeCell="R9" sqref="R9"/>
    </sheetView>
  </sheetViews>
  <sheetFormatPr baseColWidth="10" defaultRowHeight="15"/>
  <cols>
    <col min="1" max="1" width="22" customWidth="1"/>
    <col min="2" max="2" width="10.1640625" customWidth="1"/>
    <col min="6" max="6" width="25" customWidth="1"/>
    <col min="7" max="7" width="9.83203125" customWidth="1"/>
    <col min="8" max="8" width="12.1640625" customWidth="1"/>
    <col min="11" max="11" width="13.1640625" customWidth="1"/>
    <col min="13" max="13" width="30.1640625" customWidth="1"/>
  </cols>
  <sheetData>
    <row r="1" spans="1:14" ht="24">
      <c r="A1" s="84" t="s">
        <v>57</v>
      </c>
      <c r="D1" s="108" t="s">
        <v>69</v>
      </c>
      <c r="E1" s="108"/>
      <c r="H1" s="107" t="s">
        <v>64</v>
      </c>
      <c r="I1" s="107"/>
      <c r="J1" s="107"/>
      <c r="K1" s="107"/>
      <c r="L1" s="107"/>
      <c r="M1" s="107"/>
    </row>
    <row r="3" spans="1:14" ht="19">
      <c r="A3" s="93" t="s">
        <v>47</v>
      </c>
      <c r="B3" s="69" t="s">
        <v>3</v>
      </c>
      <c r="C3" s="97">
        <f>EXP(C7*SQRT(2*C8))</f>
        <v>1.1051709180756477</v>
      </c>
      <c r="E3" s="2"/>
      <c r="F3" s="2"/>
    </row>
    <row r="4" spans="1:14" ht="19">
      <c r="A4" s="94" t="s">
        <v>46</v>
      </c>
      <c r="B4" s="69" t="s">
        <v>6</v>
      </c>
      <c r="C4" s="97">
        <f>1/C3</f>
        <v>0.90483741803595952</v>
      </c>
      <c r="E4" s="9"/>
      <c r="F4" s="11"/>
      <c r="G4" s="100" t="s">
        <v>61</v>
      </c>
      <c r="H4" s="100" t="s">
        <v>62</v>
      </c>
      <c r="M4" s="64"/>
    </row>
    <row r="5" spans="1:14" ht="19">
      <c r="A5" s="94" t="s">
        <v>48</v>
      </c>
      <c r="B5" s="69" t="s">
        <v>22</v>
      </c>
      <c r="C5" s="54">
        <v>4</v>
      </c>
      <c r="F5" s="67" t="s">
        <v>68</v>
      </c>
      <c r="G5" s="101">
        <f>Trinomial_Barrier_Europe(G4,C9,C10,C11,C7,C12,C6,C5,B13,B14)</f>
        <v>11.401995625558287</v>
      </c>
      <c r="H5" s="101">
        <f>Trinomial_Barrier_Europe("Put",C9,C10,C11,C7,C12,C6,C5,B13,B14)</f>
        <v>1.1911094106969515</v>
      </c>
      <c r="M5" s="105" t="s">
        <v>24</v>
      </c>
      <c r="N5" s="105" t="s">
        <v>61</v>
      </c>
    </row>
    <row r="6" spans="1:14" ht="19">
      <c r="A6" s="94" t="s">
        <v>49</v>
      </c>
      <c r="B6" s="69" t="s">
        <v>31</v>
      </c>
      <c r="C6" s="54">
        <v>0.5</v>
      </c>
      <c r="F6" s="67" t="s">
        <v>67</v>
      </c>
      <c r="G6" s="101">
        <f>Trinomial_Europe(G4,C9,C10,C11,C7,C12,C6,C5)</f>
        <v>13.413217328146896</v>
      </c>
      <c r="H6" s="101">
        <f>Trinomial_Europe(H4,C9,C10,C11,C7,C12,C6,C5)</f>
        <v>1.1911094106969515</v>
      </c>
      <c r="M6" s="64">
        <v>0</v>
      </c>
      <c r="N6">
        <f>Trinomial_Barrier_Europe($N$5,M6,$C$10,$C$11,$C$7,$C$12,$C$6,$C$5,$B$13,$B$14)</f>
        <v>0</v>
      </c>
    </row>
    <row r="7" spans="1:14" ht="19">
      <c r="A7" s="94" t="s">
        <v>50</v>
      </c>
      <c r="B7" s="69" t="s">
        <v>58</v>
      </c>
      <c r="C7" s="54">
        <v>0.2</v>
      </c>
      <c r="F7" s="66" t="s">
        <v>65</v>
      </c>
      <c r="G7" s="101">
        <f>Binomial_Europe(G4,C9,C10,C11,C7,C12,C6,C5)</f>
        <v>13.633584389839196</v>
      </c>
      <c r="H7" s="101">
        <f>Binomial_Europe(H4,C9,C10,C11,C7,C12,C6,C5)</f>
        <v>1.4114764723891442</v>
      </c>
      <c r="M7" s="64">
        <v>1</v>
      </c>
      <c r="N7">
        <f t="shared" ref="N7:N70" si="0">Trinomial_Barrier_Europe($N$5,M7,$C$10,$C$11,$C$7,$C$12,$C$6,$C$5,$B$13,$B$14)</f>
        <v>0</v>
      </c>
    </row>
    <row r="8" spans="1:14" ht="19">
      <c r="A8" s="95" t="s">
        <v>59</v>
      </c>
      <c r="B8" s="69" t="s">
        <v>60</v>
      </c>
      <c r="C8" s="54">
        <f>C6/C5</f>
        <v>0.125</v>
      </c>
      <c r="E8" s="5"/>
      <c r="F8" s="63" t="s">
        <v>66</v>
      </c>
      <c r="G8" s="101">
        <f>BS(G4,C9,C10,C11,C7,C12,C6)</f>
        <v>13.498517482637197</v>
      </c>
      <c r="H8" s="101">
        <f>BS(H4,C9,C10,C11,C7,C12,C6)</f>
        <v>1.276409565187155</v>
      </c>
      <c r="M8" s="64">
        <v>2</v>
      </c>
      <c r="N8">
        <f t="shared" si="0"/>
        <v>0</v>
      </c>
    </row>
    <row r="9" spans="1:14" ht="19">
      <c r="A9" s="94" t="s">
        <v>51</v>
      </c>
      <c r="B9" s="69" t="s">
        <v>24</v>
      </c>
      <c r="C9" s="54">
        <v>100</v>
      </c>
      <c r="M9" s="64">
        <v>3</v>
      </c>
      <c r="N9">
        <f t="shared" si="0"/>
        <v>0</v>
      </c>
    </row>
    <row r="10" spans="1:14" ht="19">
      <c r="A10" s="94" t="s">
        <v>52</v>
      </c>
      <c r="B10" s="69" t="s">
        <v>26</v>
      </c>
      <c r="C10" s="54">
        <v>90</v>
      </c>
      <c r="M10" s="64">
        <v>4</v>
      </c>
      <c r="N10">
        <f t="shared" si="0"/>
        <v>0</v>
      </c>
    </row>
    <row r="11" spans="1:14" ht="19">
      <c r="A11" s="94" t="s">
        <v>53</v>
      </c>
      <c r="B11" s="69" t="s">
        <v>8</v>
      </c>
      <c r="C11" s="54">
        <v>0.05</v>
      </c>
      <c r="M11" s="64">
        <v>5</v>
      </c>
      <c r="N11">
        <f t="shared" si="0"/>
        <v>0</v>
      </c>
    </row>
    <row r="12" spans="1:14" ht="19">
      <c r="A12" s="94" t="s">
        <v>54</v>
      </c>
      <c r="B12" s="69" t="s">
        <v>21</v>
      </c>
      <c r="C12" s="54">
        <v>0.05</v>
      </c>
      <c r="M12" s="64">
        <v>6</v>
      </c>
      <c r="N12">
        <f t="shared" si="0"/>
        <v>0</v>
      </c>
    </row>
    <row r="13" spans="1:14" ht="19">
      <c r="A13" s="96" t="s">
        <v>55</v>
      </c>
      <c r="B13" s="69">
        <v>130</v>
      </c>
      <c r="M13" s="64">
        <v>7</v>
      </c>
      <c r="N13">
        <f t="shared" si="0"/>
        <v>0</v>
      </c>
    </row>
    <row r="14" spans="1:14" ht="19">
      <c r="A14" s="96" t="s">
        <v>56</v>
      </c>
      <c r="B14" s="69">
        <v>60</v>
      </c>
      <c r="M14" s="64">
        <v>8</v>
      </c>
      <c r="N14">
        <f t="shared" si="0"/>
        <v>0</v>
      </c>
    </row>
    <row r="15" spans="1:14">
      <c r="A15" s="20"/>
      <c r="B15" s="12"/>
      <c r="C15" s="7"/>
      <c r="M15" s="64">
        <v>9</v>
      </c>
      <c r="N15">
        <f t="shared" si="0"/>
        <v>0</v>
      </c>
    </row>
    <row r="16" spans="1:14">
      <c r="B16" s="7"/>
      <c r="M16" s="64">
        <v>10</v>
      </c>
      <c r="N16">
        <f t="shared" si="0"/>
        <v>0</v>
      </c>
    </row>
    <row r="17" spans="1:14">
      <c r="A17" s="2"/>
      <c r="M17" s="64">
        <v>11</v>
      </c>
      <c r="N17">
        <f t="shared" si="0"/>
        <v>0</v>
      </c>
    </row>
    <row r="18" spans="1:14">
      <c r="A18" s="21"/>
      <c r="M18" s="64">
        <v>12</v>
      </c>
      <c r="N18">
        <f t="shared" si="0"/>
        <v>0</v>
      </c>
    </row>
    <row r="19" spans="1:14" ht="16">
      <c r="A19" s="102" t="s">
        <v>70</v>
      </c>
      <c r="B19" s="102"/>
      <c r="C19" s="102"/>
      <c r="D19" s="102"/>
      <c r="E19" s="102"/>
      <c r="F19" s="102"/>
      <c r="G19" s="102"/>
      <c r="H19" s="102"/>
      <c r="I19" s="70"/>
      <c r="J19" s="70"/>
      <c r="M19" s="64">
        <v>13</v>
      </c>
      <c r="N19">
        <f t="shared" si="0"/>
        <v>0</v>
      </c>
    </row>
    <row r="20" spans="1:14" ht="16">
      <c r="A20" s="102"/>
      <c r="B20" s="102"/>
      <c r="C20" s="102"/>
      <c r="D20" s="102"/>
      <c r="E20" s="102"/>
      <c r="F20" s="102"/>
      <c r="G20" s="102"/>
      <c r="H20" s="102"/>
      <c r="I20" s="70"/>
      <c r="J20" s="70"/>
      <c r="M20" s="64">
        <v>14</v>
      </c>
      <c r="N20">
        <f t="shared" si="0"/>
        <v>0</v>
      </c>
    </row>
    <row r="21" spans="1:14" ht="16">
      <c r="A21" s="102" t="s">
        <v>71</v>
      </c>
      <c r="B21" s="102"/>
      <c r="C21" s="102"/>
      <c r="D21" s="102"/>
      <c r="E21" s="102"/>
      <c r="F21" s="102"/>
      <c r="G21" s="102"/>
      <c r="H21" s="102"/>
      <c r="I21" s="70"/>
      <c r="J21" s="70"/>
      <c r="M21" s="64">
        <v>15</v>
      </c>
      <c r="N21">
        <f t="shared" si="0"/>
        <v>0</v>
      </c>
    </row>
    <row r="22" spans="1:14" ht="16">
      <c r="A22" s="102"/>
      <c r="B22" s="102"/>
      <c r="C22" s="102"/>
      <c r="D22" s="102"/>
      <c r="E22" s="102"/>
      <c r="F22" s="102"/>
      <c r="G22" s="102"/>
      <c r="H22" s="102"/>
      <c r="I22" s="70"/>
      <c r="J22" s="70"/>
      <c r="M22" s="64">
        <v>16</v>
      </c>
      <c r="N22">
        <f t="shared" si="0"/>
        <v>0</v>
      </c>
    </row>
    <row r="23" spans="1:14" ht="16">
      <c r="A23" s="102" t="s">
        <v>72</v>
      </c>
      <c r="B23" s="102"/>
      <c r="C23" s="102"/>
      <c r="D23" s="102"/>
      <c r="E23" s="102"/>
      <c r="F23" s="102"/>
      <c r="G23" s="102"/>
      <c r="H23" s="102"/>
      <c r="I23" s="70"/>
      <c r="J23" s="70"/>
      <c r="M23" s="64">
        <v>17</v>
      </c>
      <c r="N23">
        <f t="shared" si="0"/>
        <v>0</v>
      </c>
    </row>
    <row r="24" spans="1:14" ht="16">
      <c r="A24" s="102" t="s">
        <v>73</v>
      </c>
      <c r="B24" s="102"/>
      <c r="C24" s="102"/>
      <c r="D24" s="102"/>
      <c r="E24" s="102"/>
      <c r="F24" s="102"/>
      <c r="G24" s="102"/>
      <c r="H24" s="102"/>
      <c r="I24" s="70"/>
      <c r="J24" s="70"/>
      <c r="M24" s="64">
        <v>18</v>
      </c>
      <c r="N24">
        <f t="shared" si="0"/>
        <v>0</v>
      </c>
    </row>
    <row r="25" spans="1:14" ht="16">
      <c r="A25" s="102"/>
      <c r="B25" s="102"/>
      <c r="C25" s="102"/>
      <c r="D25" s="102"/>
      <c r="E25" s="102"/>
      <c r="F25" s="102"/>
      <c r="G25" s="102"/>
      <c r="H25" s="102"/>
      <c r="I25" s="70"/>
      <c r="J25" s="70"/>
      <c r="M25" s="64">
        <v>19</v>
      </c>
      <c r="N25">
        <f t="shared" si="0"/>
        <v>0</v>
      </c>
    </row>
    <row r="26" spans="1:14" ht="16">
      <c r="A26" s="102" t="s">
        <v>74</v>
      </c>
      <c r="B26" s="102"/>
      <c r="C26" s="102"/>
      <c r="D26" s="102"/>
      <c r="E26" s="102"/>
      <c r="F26" s="102"/>
      <c r="G26" s="102"/>
      <c r="H26" s="102"/>
      <c r="I26" s="70"/>
      <c r="J26" s="70"/>
      <c r="M26" s="64">
        <v>20</v>
      </c>
      <c r="N26">
        <f t="shared" si="0"/>
        <v>0</v>
      </c>
    </row>
    <row r="27" spans="1:14" ht="16">
      <c r="A27" s="102" t="s">
        <v>75</v>
      </c>
      <c r="B27" s="102"/>
      <c r="C27" s="102"/>
      <c r="D27" s="102"/>
      <c r="E27" s="102"/>
      <c r="F27" s="102"/>
      <c r="G27" s="102"/>
      <c r="H27" s="102"/>
      <c r="I27" s="70"/>
      <c r="J27" s="70"/>
      <c r="M27" s="64">
        <v>21</v>
      </c>
      <c r="N27">
        <f t="shared" si="0"/>
        <v>0</v>
      </c>
    </row>
    <row r="28" spans="1:14" ht="16">
      <c r="A28" s="102" t="s">
        <v>76</v>
      </c>
      <c r="B28" s="102"/>
      <c r="C28" s="102"/>
      <c r="D28" s="102"/>
      <c r="E28" s="102"/>
      <c r="F28" s="102"/>
      <c r="G28" s="102"/>
      <c r="H28" s="102"/>
      <c r="I28" s="70"/>
      <c r="J28" s="70"/>
      <c r="M28" s="64">
        <v>22</v>
      </c>
      <c r="N28">
        <f t="shared" si="0"/>
        <v>0</v>
      </c>
    </row>
    <row r="29" spans="1:14" ht="16">
      <c r="A29" s="102"/>
      <c r="B29" s="102"/>
      <c r="C29" s="102"/>
      <c r="D29" s="102"/>
      <c r="E29" s="102"/>
      <c r="F29" s="102"/>
      <c r="G29" s="102"/>
      <c r="H29" s="102"/>
      <c r="I29" s="70"/>
      <c r="J29" s="70"/>
      <c r="M29" s="64">
        <v>23</v>
      </c>
      <c r="N29">
        <f t="shared" si="0"/>
        <v>0</v>
      </c>
    </row>
    <row r="30" spans="1:14" ht="16">
      <c r="A30" s="102" t="s">
        <v>77</v>
      </c>
      <c r="B30" s="102"/>
      <c r="C30" s="102"/>
      <c r="D30" s="102"/>
      <c r="E30" s="102"/>
      <c r="F30" s="102"/>
      <c r="G30" s="102"/>
      <c r="H30" s="102"/>
      <c r="I30" s="70"/>
      <c r="J30" s="70"/>
      <c r="M30" s="64">
        <v>24</v>
      </c>
      <c r="N30">
        <f t="shared" si="0"/>
        <v>0</v>
      </c>
    </row>
    <row r="31" spans="1:14" ht="16">
      <c r="A31" s="102" t="s">
        <v>78</v>
      </c>
      <c r="B31" s="102"/>
      <c r="C31" s="102"/>
      <c r="D31" s="102"/>
      <c r="E31" s="102"/>
      <c r="F31" s="102"/>
      <c r="G31" s="102"/>
      <c r="H31" s="102"/>
      <c r="I31" s="70"/>
      <c r="J31" s="70"/>
      <c r="M31" s="64">
        <v>25</v>
      </c>
      <c r="N31">
        <f t="shared" si="0"/>
        <v>0</v>
      </c>
    </row>
    <row r="32" spans="1:14" ht="16">
      <c r="A32" s="102" t="s">
        <v>79</v>
      </c>
      <c r="B32" s="102"/>
      <c r="C32" s="102"/>
      <c r="D32" s="102"/>
      <c r="E32" s="102"/>
      <c r="F32" s="102"/>
      <c r="G32" s="102"/>
      <c r="H32" s="102"/>
      <c r="I32" s="70"/>
      <c r="J32" s="70"/>
      <c r="M32" s="64">
        <v>26</v>
      </c>
      <c r="N32">
        <f t="shared" si="0"/>
        <v>0</v>
      </c>
    </row>
    <row r="33" spans="1:14" ht="16">
      <c r="A33" s="102"/>
      <c r="B33" s="102"/>
      <c r="C33" s="102"/>
      <c r="D33" s="102"/>
      <c r="E33" s="102"/>
      <c r="F33" s="102"/>
      <c r="G33" s="102"/>
      <c r="H33" s="102"/>
      <c r="I33" s="70"/>
      <c r="J33" s="70"/>
      <c r="M33" s="64">
        <v>27</v>
      </c>
      <c r="N33">
        <f t="shared" si="0"/>
        <v>0</v>
      </c>
    </row>
    <row r="34" spans="1:14">
      <c r="M34" s="64">
        <v>28</v>
      </c>
      <c r="N34">
        <f t="shared" si="0"/>
        <v>0</v>
      </c>
    </row>
    <row r="35" spans="1:14">
      <c r="M35" s="64">
        <v>29</v>
      </c>
      <c r="N35">
        <f t="shared" si="0"/>
        <v>0</v>
      </c>
    </row>
    <row r="36" spans="1:14">
      <c r="M36" s="64">
        <v>30</v>
      </c>
      <c r="N36">
        <f t="shared" si="0"/>
        <v>0</v>
      </c>
    </row>
    <row r="37" spans="1:14">
      <c r="M37" s="64">
        <v>31</v>
      </c>
      <c r="N37">
        <f t="shared" si="0"/>
        <v>0</v>
      </c>
    </row>
    <row r="38" spans="1:14">
      <c r="M38" s="64">
        <v>32</v>
      </c>
      <c r="N38">
        <f t="shared" si="0"/>
        <v>0</v>
      </c>
    </row>
    <row r="39" spans="1:14">
      <c r="M39" s="64">
        <v>33</v>
      </c>
      <c r="N39">
        <f t="shared" si="0"/>
        <v>0</v>
      </c>
    </row>
    <row r="40" spans="1:14">
      <c r="M40" s="64">
        <v>34</v>
      </c>
      <c r="N40">
        <f t="shared" si="0"/>
        <v>0</v>
      </c>
    </row>
    <row r="41" spans="1:14">
      <c r="M41" s="64">
        <v>35</v>
      </c>
      <c r="N41">
        <f t="shared" si="0"/>
        <v>0</v>
      </c>
    </row>
    <row r="42" spans="1:14">
      <c r="M42" s="64">
        <v>36</v>
      </c>
      <c r="N42">
        <f t="shared" si="0"/>
        <v>0</v>
      </c>
    </row>
    <row r="43" spans="1:14">
      <c r="M43" s="64">
        <v>37</v>
      </c>
      <c r="N43">
        <f t="shared" si="0"/>
        <v>0</v>
      </c>
    </row>
    <row r="44" spans="1:14">
      <c r="M44" s="64">
        <v>38</v>
      </c>
      <c r="N44">
        <f t="shared" si="0"/>
        <v>0</v>
      </c>
    </row>
    <row r="45" spans="1:14">
      <c r="M45" s="64">
        <v>39</v>
      </c>
      <c r="N45">
        <f t="shared" si="0"/>
        <v>0</v>
      </c>
    </row>
    <row r="46" spans="1:14">
      <c r="M46" s="64">
        <v>40</v>
      </c>
      <c r="N46">
        <f t="shared" si="0"/>
        <v>0</v>
      </c>
    </row>
    <row r="47" spans="1:14">
      <c r="M47" s="64">
        <v>41</v>
      </c>
      <c r="N47">
        <f t="shared" si="0"/>
        <v>0</v>
      </c>
    </row>
    <row r="48" spans="1:14">
      <c r="M48" s="64">
        <v>42</v>
      </c>
      <c r="N48">
        <f t="shared" si="0"/>
        <v>0</v>
      </c>
    </row>
    <row r="49" spans="13:14">
      <c r="M49" s="64">
        <v>43</v>
      </c>
      <c r="N49">
        <f t="shared" si="0"/>
        <v>0</v>
      </c>
    </row>
    <row r="50" spans="13:14">
      <c r="M50" s="64">
        <v>44</v>
      </c>
      <c r="N50">
        <f t="shared" si="0"/>
        <v>0</v>
      </c>
    </row>
    <row r="51" spans="13:14">
      <c r="M51" s="64">
        <v>45</v>
      </c>
      <c r="N51">
        <f t="shared" si="0"/>
        <v>0</v>
      </c>
    </row>
    <row r="52" spans="13:14">
      <c r="M52" s="64">
        <v>46</v>
      </c>
      <c r="N52">
        <f t="shared" si="0"/>
        <v>0</v>
      </c>
    </row>
    <row r="53" spans="13:14">
      <c r="M53" s="64">
        <v>47</v>
      </c>
      <c r="N53">
        <f t="shared" si="0"/>
        <v>0</v>
      </c>
    </row>
    <row r="54" spans="13:14">
      <c r="M54" s="64">
        <v>48</v>
      </c>
      <c r="N54">
        <f t="shared" si="0"/>
        <v>0</v>
      </c>
    </row>
    <row r="55" spans="13:14">
      <c r="M55" s="64">
        <v>49</v>
      </c>
      <c r="N55">
        <f t="shared" si="0"/>
        <v>0</v>
      </c>
    </row>
    <row r="56" spans="13:14">
      <c r="M56" s="64">
        <v>50</v>
      </c>
      <c r="N56">
        <f t="shared" si="0"/>
        <v>0</v>
      </c>
    </row>
    <row r="57" spans="13:14">
      <c r="M57" s="64">
        <v>51</v>
      </c>
      <c r="N57">
        <f t="shared" si="0"/>
        <v>0</v>
      </c>
    </row>
    <row r="58" spans="13:14">
      <c r="M58" s="64">
        <v>52</v>
      </c>
      <c r="N58">
        <f t="shared" si="0"/>
        <v>0</v>
      </c>
    </row>
    <row r="59" spans="13:14">
      <c r="M59" s="64">
        <v>53</v>
      </c>
      <c r="N59">
        <f t="shared" si="0"/>
        <v>0</v>
      </c>
    </row>
    <row r="60" spans="13:14">
      <c r="M60" s="64">
        <v>54</v>
      </c>
      <c r="N60">
        <f t="shared" si="0"/>
        <v>0</v>
      </c>
    </row>
    <row r="61" spans="13:14">
      <c r="M61" s="64">
        <v>55</v>
      </c>
      <c r="N61">
        <f t="shared" si="0"/>
        <v>0</v>
      </c>
    </row>
    <row r="62" spans="13:14">
      <c r="M62" s="64">
        <v>56</v>
      </c>
      <c r="N62">
        <f t="shared" si="0"/>
        <v>0</v>
      </c>
    </row>
    <row r="63" spans="13:14">
      <c r="M63" s="64">
        <v>57</v>
      </c>
      <c r="N63">
        <f t="shared" si="0"/>
        <v>0</v>
      </c>
    </row>
    <row r="64" spans="13:14">
      <c r="M64" s="64">
        <v>58</v>
      </c>
      <c r="N64">
        <f t="shared" si="0"/>
        <v>0</v>
      </c>
    </row>
    <row r="65" spans="13:14">
      <c r="M65" s="64">
        <v>59</v>
      </c>
      <c r="N65">
        <f t="shared" si="0"/>
        <v>0</v>
      </c>
    </row>
    <row r="66" spans="13:14">
      <c r="M66" s="64">
        <v>60</v>
      </c>
      <c r="N66">
        <f t="shared" si="0"/>
        <v>0</v>
      </c>
    </row>
    <row r="67" spans="13:14">
      <c r="M67" s="64">
        <v>61</v>
      </c>
      <c r="N67">
        <f t="shared" si="0"/>
        <v>5.1242705840610046E-3</v>
      </c>
    </row>
    <row r="68" spans="13:14">
      <c r="M68" s="64">
        <v>62</v>
      </c>
      <c r="N68">
        <f t="shared" si="0"/>
        <v>1.2758809045828191E-2</v>
      </c>
    </row>
    <row r="69" spans="13:14">
      <c r="M69" s="64">
        <v>63</v>
      </c>
      <c r="N69">
        <f t="shared" si="0"/>
        <v>2.0393347507595305E-2</v>
      </c>
    </row>
    <row r="70" spans="13:14">
      <c r="M70" s="64">
        <v>64</v>
      </c>
      <c r="N70">
        <f t="shared" si="0"/>
        <v>2.8027885969362485E-2</v>
      </c>
    </row>
    <row r="71" spans="13:14">
      <c r="M71" s="64">
        <v>65</v>
      </c>
      <c r="N71">
        <f t="shared" ref="N71:N134" si="1">Trinomial_Barrier_Europe($N$5,M71,$C$10,$C$11,$C$7,$C$12,$C$6,$C$5,$B$13,$B$14)</f>
        <v>3.5662424431129672E-2</v>
      </c>
    </row>
    <row r="72" spans="13:14">
      <c r="M72" s="64">
        <v>66</v>
      </c>
      <c r="N72">
        <f t="shared" si="1"/>
        <v>4.3296962892896702E-2</v>
      </c>
    </row>
    <row r="73" spans="13:14">
      <c r="M73" s="64">
        <v>67</v>
      </c>
      <c r="N73">
        <f t="shared" si="1"/>
        <v>6.7661125637710332E-2</v>
      </c>
    </row>
    <row r="74" spans="13:14">
      <c r="M74" s="64">
        <v>68</v>
      </c>
      <c r="N74">
        <f t="shared" si="1"/>
        <v>0.12655690069682887</v>
      </c>
    </row>
    <row r="75" spans="13:14">
      <c r="M75" s="64">
        <v>69</v>
      </c>
      <c r="N75">
        <f t="shared" si="1"/>
        <v>0.18545267575594629</v>
      </c>
    </row>
    <row r="76" spans="13:14">
      <c r="M76" s="64">
        <v>70</v>
      </c>
      <c r="N76">
        <f t="shared" si="1"/>
        <v>0.24434845081506484</v>
      </c>
    </row>
    <row r="77" spans="13:14">
      <c r="M77" s="64">
        <v>71</v>
      </c>
      <c r="N77">
        <f t="shared" si="1"/>
        <v>0.30324422587418337</v>
      </c>
    </row>
    <row r="78" spans="13:14">
      <c r="M78" s="64">
        <v>72</v>
      </c>
      <c r="N78">
        <f t="shared" si="1"/>
        <v>0.36214000093330129</v>
      </c>
    </row>
    <row r="79" spans="13:14">
      <c r="M79" s="64">
        <v>73</v>
      </c>
      <c r="N79">
        <f t="shared" si="1"/>
        <v>0.42103577599241926</v>
      </c>
    </row>
    <row r="80" spans="13:14">
      <c r="M80" s="64">
        <v>74</v>
      </c>
      <c r="N80">
        <f t="shared" si="1"/>
        <v>0.52724930755657395</v>
      </c>
    </row>
    <row r="81" spans="13:14">
      <c r="M81" s="64">
        <v>75</v>
      </c>
      <c r="N81">
        <f t="shared" si="1"/>
        <v>0.73672720960462246</v>
      </c>
    </row>
    <row r="82" spans="13:14">
      <c r="M82" s="64">
        <v>76</v>
      </c>
      <c r="N82">
        <f t="shared" si="1"/>
        <v>0.94620511165267118</v>
      </c>
    </row>
    <row r="83" spans="13:14">
      <c r="M83" s="64">
        <v>77</v>
      </c>
      <c r="N83">
        <f t="shared" si="1"/>
        <v>1.1556830137007221</v>
      </c>
    </row>
    <row r="84" spans="13:14">
      <c r="M84" s="64">
        <v>78</v>
      </c>
      <c r="N84">
        <f t="shared" si="1"/>
        <v>1.3651609157487707</v>
      </c>
    </row>
    <row r="85" spans="13:14">
      <c r="M85" s="64">
        <v>79</v>
      </c>
      <c r="N85">
        <f t="shared" si="1"/>
        <v>1.5746388177968194</v>
      </c>
    </row>
    <row r="86" spans="13:14">
      <c r="M86" s="64">
        <v>80</v>
      </c>
      <c r="N86">
        <f t="shared" si="1"/>
        <v>1.7841167198448684</v>
      </c>
    </row>
    <row r="87" spans="13:14">
      <c r="M87" s="64">
        <v>81</v>
      </c>
      <c r="N87">
        <f t="shared" si="1"/>
        <v>1.9935946218929188</v>
      </c>
    </row>
    <row r="88" spans="13:14">
      <c r="M88" s="64">
        <v>82</v>
      </c>
      <c r="N88">
        <f t="shared" si="1"/>
        <v>2.3457927433909611</v>
      </c>
    </row>
    <row r="89" spans="13:14">
      <c r="M89" s="64">
        <v>83</v>
      </c>
      <c r="N89">
        <f t="shared" si="1"/>
        <v>2.8080372690393736</v>
      </c>
    </row>
    <row r="90" spans="13:14">
      <c r="M90" s="64">
        <v>84</v>
      </c>
      <c r="N90">
        <f t="shared" si="1"/>
        <v>3.2702817946877865</v>
      </c>
    </row>
    <row r="91" spans="13:14">
      <c r="M91" s="64">
        <v>85</v>
      </c>
      <c r="N91">
        <f t="shared" si="1"/>
        <v>3.7325263203361967</v>
      </c>
    </row>
    <row r="92" spans="13:14">
      <c r="M92" s="64">
        <v>86</v>
      </c>
      <c r="N92">
        <f t="shared" si="1"/>
        <v>4.194770845984606</v>
      </c>
    </row>
    <row r="93" spans="13:14">
      <c r="M93" s="64">
        <v>87</v>
      </c>
      <c r="N93">
        <f t="shared" si="1"/>
        <v>4.6570153716330216</v>
      </c>
    </row>
    <row r="94" spans="13:14">
      <c r="M94" s="64">
        <v>88</v>
      </c>
      <c r="N94">
        <f t="shared" si="1"/>
        <v>4.9080030882296555</v>
      </c>
    </row>
    <row r="95" spans="13:14">
      <c r="M95" s="64">
        <v>89</v>
      </c>
      <c r="N95">
        <f t="shared" si="1"/>
        <v>5.3626130754163013</v>
      </c>
    </row>
    <row r="96" spans="13:14">
      <c r="M96" s="64">
        <v>90</v>
      </c>
      <c r="N96">
        <f t="shared" si="1"/>
        <v>5.8172230626029471</v>
      </c>
    </row>
    <row r="97" spans="13:14">
      <c r="M97" s="64">
        <v>91</v>
      </c>
      <c r="N97">
        <f t="shared" si="1"/>
        <v>6.5370162727420071</v>
      </c>
    </row>
    <row r="98" spans="13:14">
      <c r="M98" s="64">
        <v>92</v>
      </c>
      <c r="N98">
        <f t="shared" si="1"/>
        <v>7.2568094828810628</v>
      </c>
    </row>
    <row r="99" spans="13:14">
      <c r="M99" s="64">
        <v>93</v>
      </c>
      <c r="N99">
        <f t="shared" si="1"/>
        <v>7.9766026930201264</v>
      </c>
    </row>
    <row r="100" spans="13:14">
      <c r="M100" s="64">
        <v>94</v>
      </c>
      <c r="N100">
        <f t="shared" si="1"/>
        <v>8.6963959031591838</v>
      </c>
    </row>
    <row r="101" spans="13:14">
      <c r="M101" s="64">
        <v>95</v>
      </c>
      <c r="N101">
        <f t="shared" si="1"/>
        <v>9.4161891132982429</v>
      </c>
    </row>
    <row r="102" spans="13:14">
      <c r="M102" s="64">
        <v>96</v>
      </c>
      <c r="N102">
        <f t="shared" si="1"/>
        <v>10.135982323437302</v>
      </c>
    </row>
    <row r="103" spans="13:14">
      <c r="M103" s="64">
        <v>97</v>
      </c>
      <c r="N103">
        <f t="shared" si="1"/>
        <v>9.3012088113727849</v>
      </c>
    </row>
    <row r="104" spans="13:14">
      <c r="M104" s="64">
        <v>98</v>
      </c>
      <c r="N104">
        <f t="shared" si="1"/>
        <v>9.969740784914503</v>
      </c>
    </row>
    <row r="105" spans="13:14">
      <c r="M105" s="64">
        <v>99</v>
      </c>
      <c r="N105">
        <f t="shared" si="1"/>
        <v>10.638272758456207</v>
      </c>
    </row>
    <row r="106" spans="13:14">
      <c r="M106" s="103">
        <v>100</v>
      </c>
      <c r="N106" s="104">
        <f t="shared" si="1"/>
        <v>11.401995625558287</v>
      </c>
    </row>
    <row r="107" spans="13:14">
      <c r="M107" s="64">
        <v>101</v>
      </c>
      <c r="N107">
        <f t="shared" si="1"/>
        <v>12.248581845620421</v>
      </c>
    </row>
    <row r="108" spans="13:14">
      <c r="M108" s="64">
        <v>102</v>
      </c>
      <c r="N108">
        <f t="shared" si="1"/>
        <v>13.095168065682564</v>
      </c>
    </row>
    <row r="109" spans="13:14">
      <c r="M109" s="64">
        <v>103</v>
      </c>
      <c r="N109">
        <f t="shared" si="1"/>
        <v>13.941754285744699</v>
      </c>
    </row>
    <row r="110" spans="13:14">
      <c r="M110" s="64">
        <v>104</v>
      </c>
      <c r="N110">
        <f t="shared" si="1"/>
        <v>14.78834050580684</v>
      </c>
    </row>
    <row r="111" spans="13:14">
      <c r="M111" s="64">
        <v>105</v>
      </c>
      <c r="N111">
        <f t="shared" si="1"/>
        <v>15.634926725868985</v>
      </c>
    </row>
    <row r="112" spans="13:14">
      <c r="M112" s="64">
        <v>106</v>
      </c>
      <c r="N112">
        <f t="shared" si="1"/>
        <v>16.481512945931108</v>
      </c>
    </row>
    <row r="113" spans="13:14">
      <c r="M113" s="64">
        <v>107</v>
      </c>
      <c r="N113">
        <f t="shared" si="1"/>
        <v>12.311571218853485</v>
      </c>
    </row>
    <row r="114" spans="13:14">
      <c r="M114" s="64">
        <v>108</v>
      </c>
      <c r="N114">
        <f t="shared" si="1"/>
        <v>13.007575311926693</v>
      </c>
    </row>
    <row r="115" spans="13:14">
      <c r="M115" s="64">
        <v>109</v>
      </c>
      <c r="N115">
        <f t="shared" si="1"/>
        <v>13.703579404999903</v>
      </c>
    </row>
    <row r="116" spans="13:14">
      <c r="M116" s="64">
        <v>110</v>
      </c>
      <c r="N116">
        <f t="shared" si="1"/>
        <v>14.405094252600374</v>
      </c>
    </row>
    <row r="117" spans="13:14">
      <c r="M117" s="64">
        <v>111</v>
      </c>
      <c r="N117">
        <f t="shared" si="1"/>
        <v>15.175818652144596</v>
      </c>
    </row>
    <row r="118" spans="13:14">
      <c r="M118" s="64">
        <v>112</v>
      </c>
      <c r="N118">
        <f t="shared" si="1"/>
        <v>15.946543051688788</v>
      </c>
    </row>
    <row r="119" spans="13:14">
      <c r="M119" s="64">
        <v>113</v>
      </c>
      <c r="N119">
        <f t="shared" si="1"/>
        <v>16.717267451233006</v>
      </c>
    </row>
    <row r="120" spans="13:14">
      <c r="M120" s="64">
        <v>114</v>
      </c>
      <c r="N120">
        <f t="shared" si="1"/>
        <v>17.487991850777217</v>
      </c>
    </row>
    <row r="121" spans="13:14">
      <c r="M121" s="64">
        <v>115</v>
      </c>
      <c r="N121">
        <f t="shared" si="1"/>
        <v>18.258716250321427</v>
      </c>
    </row>
    <row r="122" spans="13:14">
      <c r="M122" s="64">
        <v>116</v>
      </c>
      <c r="N122">
        <f t="shared" si="1"/>
        <v>19.029440649865649</v>
      </c>
    </row>
    <row r="123" spans="13:14">
      <c r="M123" s="64">
        <v>117</v>
      </c>
      <c r="N123">
        <f t="shared" si="1"/>
        <v>19.800165049409856</v>
      </c>
    </row>
    <row r="124" spans="13:14">
      <c r="M124" s="64">
        <v>118</v>
      </c>
      <c r="N124">
        <f t="shared" si="1"/>
        <v>11.328570779891033</v>
      </c>
    </row>
    <row r="125" spans="13:14">
      <c r="M125" s="64">
        <v>119</v>
      </c>
      <c r="N125">
        <f t="shared" si="1"/>
        <v>11.846528555834873</v>
      </c>
    </row>
    <row r="126" spans="13:14">
      <c r="M126" s="64">
        <v>120</v>
      </c>
      <c r="N126">
        <f t="shared" si="1"/>
        <v>12.364486331778723</v>
      </c>
    </row>
    <row r="127" spans="13:14">
      <c r="M127" s="64">
        <v>121</v>
      </c>
      <c r="N127">
        <f t="shared" si="1"/>
        <v>12.882444107722575</v>
      </c>
    </row>
    <row r="128" spans="13:14">
      <c r="M128" s="64">
        <v>122</v>
      </c>
      <c r="N128">
        <f t="shared" si="1"/>
        <v>13.409588517807494</v>
      </c>
    </row>
    <row r="129" spans="13:14">
      <c r="M129" s="64">
        <v>123</v>
      </c>
      <c r="N129">
        <f t="shared" si="1"/>
        <v>13.945464185335284</v>
      </c>
    </row>
    <row r="130" spans="13:14">
      <c r="M130" s="64">
        <v>124</v>
      </c>
      <c r="N130">
        <f t="shared" si="1"/>
        <v>14.481339852863071</v>
      </c>
    </row>
    <row r="131" spans="13:14">
      <c r="M131" s="64">
        <v>125</v>
      </c>
      <c r="N131">
        <f t="shared" si="1"/>
        <v>15.01721552039084</v>
      </c>
    </row>
    <row r="132" spans="13:14">
      <c r="M132" s="64">
        <v>126</v>
      </c>
      <c r="N132">
        <f t="shared" si="1"/>
        <v>15.553091187918627</v>
      </c>
    </row>
    <row r="133" spans="13:14">
      <c r="M133" s="64">
        <v>127</v>
      </c>
      <c r="N133">
        <f t="shared" si="1"/>
        <v>16.088966855446408</v>
      </c>
    </row>
    <row r="134" spans="13:14">
      <c r="M134" s="64">
        <v>128</v>
      </c>
      <c r="N134">
        <f t="shared" si="1"/>
        <v>16.624842522974191</v>
      </c>
    </row>
    <row r="135" spans="13:14">
      <c r="M135" s="64">
        <v>129</v>
      </c>
      <c r="N135">
        <f t="shared" ref="N135:N198" si="2">Trinomial_Barrier_Europe($N$5,M135,$C$10,$C$11,$C$7,$C$12,$C$6,$C$5,$B$13,$B$14)</f>
        <v>17.160718190501978</v>
      </c>
    </row>
    <row r="136" spans="13:14">
      <c r="M136" s="64">
        <v>130</v>
      </c>
      <c r="N136">
        <f t="shared" si="2"/>
        <v>17.696593858029761</v>
      </c>
    </row>
    <row r="137" spans="13:14">
      <c r="M137" s="64">
        <v>131</v>
      </c>
      <c r="N137">
        <f t="shared" si="2"/>
        <v>7.3599573845085349</v>
      </c>
    </row>
    <row r="138" spans="13:14">
      <c r="M138" s="64">
        <v>132</v>
      </c>
      <c r="N138">
        <f t="shared" si="2"/>
        <v>7.6306498290838967</v>
      </c>
    </row>
    <row r="139" spans="13:14">
      <c r="M139" s="64">
        <v>133</v>
      </c>
      <c r="N139">
        <f t="shared" si="2"/>
        <v>7.9013422736592656</v>
      </c>
    </row>
    <row r="140" spans="13:14">
      <c r="M140" s="64">
        <v>134</v>
      </c>
      <c r="N140">
        <f t="shared" si="2"/>
        <v>8.1720347182346345</v>
      </c>
    </row>
    <row r="141" spans="13:14">
      <c r="M141" s="64">
        <v>135</v>
      </c>
      <c r="N141">
        <f t="shared" si="2"/>
        <v>8.4441102818344582</v>
      </c>
    </row>
    <row r="142" spans="13:14">
      <c r="M142" s="64">
        <v>136</v>
      </c>
      <c r="N142">
        <f t="shared" si="2"/>
        <v>8.7166825332336337</v>
      </c>
    </row>
    <row r="143" spans="13:14">
      <c r="M143" s="64">
        <v>137</v>
      </c>
      <c r="N143">
        <f t="shared" si="2"/>
        <v>8.9892547846328057</v>
      </c>
    </row>
    <row r="144" spans="13:14">
      <c r="M144" s="64">
        <v>138</v>
      </c>
      <c r="N144">
        <f t="shared" si="2"/>
        <v>9.2618270360319706</v>
      </c>
    </row>
    <row r="145" spans="13:14">
      <c r="M145" s="64">
        <v>139</v>
      </c>
      <c r="N145">
        <f t="shared" si="2"/>
        <v>9.5343992874311443</v>
      </c>
    </row>
    <row r="146" spans="13:14">
      <c r="M146" s="64">
        <v>140</v>
      </c>
      <c r="N146">
        <f t="shared" si="2"/>
        <v>9.8069715388303198</v>
      </c>
    </row>
    <row r="147" spans="13:14">
      <c r="M147" s="64">
        <v>141</v>
      </c>
      <c r="N147">
        <f t="shared" si="2"/>
        <v>10.07954379022949</v>
      </c>
    </row>
    <row r="148" spans="13:14">
      <c r="M148" s="64">
        <v>142</v>
      </c>
      <c r="N148">
        <f t="shared" si="2"/>
        <v>10.352116041628664</v>
      </c>
    </row>
    <row r="149" spans="13:14">
      <c r="M149" s="64">
        <v>143</v>
      </c>
      <c r="N149">
        <f t="shared" si="2"/>
        <v>10.624688293027841</v>
      </c>
    </row>
    <row r="150" spans="13:14">
      <c r="M150" s="64">
        <v>144</v>
      </c>
      <c r="N150">
        <f t="shared" si="2"/>
        <v>2.9676828039677683</v>
      </c>
    </row>
    <row r="151" spans="13:14">
      <c r="M151" s="64">
        <v>145</v>
      </c>
      <c r="N151">
        <f t="shared" si="2"/>
        <v>3.0622008088465109</v>
      </c>
    </row>
    <row r="152" spans="13:14">
      <c r="M152" s="64">
        <v>146</v>
      </c>
      <c r="N152">
        <f t="shared" si="2"/>
        <v>3.1567188137252549</v>
      </c>
    </row>
    <row r="153" spans="13:14">
      <c r="M153" s="64">
        <v>147</v>
      </c>
      <c r="N153">
        <f t="shared" si="2"/>
        <v>3.2512368186039988</v>
      </c>
    </row>
    <row r="154" spans="13:14">
      <c r="M154" s="64">
        <v>148</v>
      </c>
      <c r="N154">
        <f t="shared" si="2"/>
        <v>3.3457548234827423</v>
      </c>
    </row>
    <row r="155" spans="13:14">
      <c r="M155" s="64">
        <v>149</v>
      </c>
      <c r="N155">
        <f t="shared" si="2"/>
        <v>3.4402728283614867</v>
      </c>
    </row>
    <row r="156" spans="13:14">
      <c r="M156" s="64">
        <v>150</v>
      </c>
      <c r="N156">
        <f t="shared" si="2"/>
        <v>3.5347908332402294</v>
      </c>
    </row>
    <row r="157" spans="13:14">
      <c r="M157" s="64">
        <v>151</v>
      </c>
      <c r="N157">
        <f t="shared" si="2"/>
        <v>3.629308838118972</v>
      </c>
    </row>
    <row r="158" spans="13:14">
      <c r="M158" s="64">
        <v>152</v>
      </c>
      <c r="N158">
        <f t="shared" si="2"/>
        <v>3.7238268429977164</v>
      </c>
    </row>
    <row r="159" spans="13:14">
      <c r="M159" s="64">
        <v>153</v>
      </c>
      <c r="N159">
        <f t="shared" si="2"/>
        <v>3.8183448478764608</v>
      </c>
    </row>
    <row r="160" spans="13:14">
      <c r="M160" s="64">
        <v>154</v>
      </c>
      <c r="N160">
        <f t="shared" si="2"/>
        <v>3.9128628527552034</v>
      </c>
    </row>
    <row r="161" spans="13:14">
      <c r="M161" s="64">
        <v>155</v>
      </c>
      <c r="N161">
        <f t="shared" si="2"/>
        <v>4.0073808576339482</v>
      </c>
    </row>
    <row r="162" spans="13:14">
      <c r="M162" s="64">
        <v>156</v>
      </c>
      <c r="N162">
        <f t="shared" si="2"/>
        <v>4.1018988625126935</v>
      </c>
    </row>
    <row r="163" spans="13:14">
      <c r="M163" s="64">
        <v>157</v>
      </c>
      <c r="N163">
        <f t="shared" si="2"/>
        <v>4.1964168673914335</v>
      </c>
    </row>
    <row r="164" spans="13:14">
      <c r="M164" s="64">
        <v>158</v>
      </c>
      <c r="N164">
        <f t="shared" si="2"/>
        <v>4.2909348722701779</v>
      </c>
    </row>
    <row r="165" spans="13:14">
      <c r="M165" s="64">
        <v>159</v>
      </c>
      <c r="N165">
        <f t="shared" si="2"/>
        <v>0.71864710554237321</v>
      </c>
    </row>
    <row r="166" spans="13:14">
      <c r="M166" s="64">
        <v>160</v>
      </c>
      <c r="N166">
        <f t="shared" si="2"/>
        <v>0.73844480395011114</v>
      </c>
    </row>
    <row r="167" spans="13:14">
      <c r="M167" s="64">
        <v>161</v>
      </c>
      <c r="N167">
        <f t="shared" si="2"/>
        <v>0.7582425023578494</v>
      </c>
    </row>
    <row r="168" spans="13:14">
      <c r="M168" s="64">
        <v>162</v>
      </c>
      <c r="N168">
        <f t="shared" si="2"/>
        <v>0.77804020076558722</v>
      </c>
    </row>
    <row r="169" spans="13:14">
      <c r="M169" s="64">
        <v>163</v>
      </c>
      <c r="N169">
        <f t="shared" si="2"/>
        <v>0.79783789917332493</v>
      </c>
    </row>
    <row r="170" spans="13:14">
      <c r="M170" s="64">
        <v>164</v>
      </c>
      <c r="N170">
        <f t="shared" si="2"/>
        <v>0.81763559758106241</v>
      </c>
    </row>
    <row r="171" spans="13:14">
      <c r="M171" s="64">
        <v>165</v>
      </c>
      <c r="N171">
        <f t="shared" si="2"/>
        <v>0.83743329598880045</v>
      </c>
    </row>
    <row r="172" spans="13:14">
      <c r="M172" s="64">
        <v>166</v>
      </c>
      <c r="N172">
        <f t="shared" si="2"/>
        <v>0.85723099439653816</v>
      </c>
    </row>
    <row r="173" spans="13:14">
      <c r="M173" s="64">
        <v>167</v>
      </c>
      <c r="N173">
        <f t="shared" si="2"/>
        <v>0.87702869280427664</v>
      </c>
    </row>
    <row r="174" spans="13:14">
      <c r="M174" s="64">
        <v>168</v>
      </c>
      <c r="N174">
        <f t="shared" si="2"/>
        <v>0.89682639121201446</v>
      </c>
    </row>
    <row r="175" spans="13:14">
      <c r="M175" s="64">
        <v>169</v>
      </c>
      <c r="N175">
        <f t="shared" si="2"/>
        <v>0.91662408961975217</v>
      </c>
    </row>
    <row r="176" spans="13:14">
      <c r="M176" s="64">
        <v>170</v>
      </c>
      <c r="N176">
        <f t="shared" si="2"/>
        <v>0.93642178802748977</v>
      </c>
    </row>
    <row r="177" spans="13:14">
      <c r="M177" s="64">
        <v>171</v>
      </c>
      <c r="N177">
        <f t="shared" si="2"/>
        <v>0.95621948643522769</v>
      </c>
    </row>
    <row r="178" spans="13:14">
      <c r="M178" s="64">
        <v>172</v>
      </c>
      <c r="N178">
        <f t="shared" si="2"/>
        <v>0.97601718484296585</v>
      </c>
    </row>
    <row r="179" spans="13:14">
      <c r="M179" s="64">
        <v>173</v>
      </c>
      <c r="N179">
        <f t="shared" si="2"/>
        <v>0.99581488325070333</v>
      </c>
    </row>
    <row r="180" spans="13:14">
      <c r="M180" s="64">
        <v>174</v>
      </c>
      <c r="N180">
        <f t="shared" si="2"/>
        <v>1.0156125816584411</v>
      </c>
    </row>
    <row r="181" spans="13:14">
      <c r="M181" s="64">
        <v>175</v>
      </c>
      <c r="N181">
        <f t="shared" si="2"/>
        <v>1.0354102800661795</v>
      </c>
    </row>
    <row r="182" spans="13:14">
      <c r="M182" s="64">
        <v>176</v>
      </c>
      <c r="N182">
        <f t="shared" si="2"/>
        <v>7.8455198800432155E-2</v>
      </c>
    </row>
    <row r="183" spans="13:14">
      <c r="M183" s="64">
        <v>177</v>
      </c>
      <c r="N183">
        <f t="shared" si="2"/>
        <v>8.0335005624236511E-2</v>
      </c>
    </row>
    <row r="184" spans="13:14">
      <c r="M184" s="64">
        <v>178</v>
      </c>
      <c r="N184">
        <f t="shared" si="2"/>
        <v>8.2214812448040853E-2</v>
      </c>
    </row>
    <row r="185" spans="13:14">
      <c r="M185" s="64">
        <v>179</v>
      </c>
      <c r="N185">
        <f t="shared" si="2"/>
        <v>8.4094619271845195E-2</v>
      </c>
    </row>
    <row r="186" spans="13:14">
      <c r="M186" s="64">
        <v>180</v>
      </c>
      <c r="N186">
        <f t="shared" si="2"/>
        <v>8.5974426095649537E-2</v>
      </c>
    </row>
    <row r="187" spans="13:14">
      <c r="M187" s="64">
        <v>181</v>
      </c>
      <c r="N187">
        <f t="shared" si="2"/>
        <v>8.7854232919453892E-2</v>
      </c>
    </row>
    <row r="188" spans="13:14">
      <c r="M188" s="64">
        <v>182</v>
      </c>
      <c r="N188">
        <f t="shared" si="2"/>
        <v>8.9734039743258248E-2</v>
      </c>
    </row>
    <row r="189" spans="13:14">
      <c r="M189" s="64">
        <v>183</v>
      </c>
      <c r="N189">
        <f t="shared" si="2"/>
        <v>9.1613846567062548E-2</v>
      </c>
    </row>
    <row r="190" spans="13:14">
      <c r="M190" s="64">
        <v>184</v>
      </c>
      <c r="N190">
        <f t="shared" si="2"/>
        <v>9.3493653390866877E-2</v>
      </c>
    </row>
    <row r="191" spans="13:14">
      <c r="M191" s="64">
        <v>185</v>
      </c>
      <c r="N191">
        <f t="shared" si="2"/>
        <v>9.5373460214671232E-2</v>
      </c>
    </row>
    <row r="192" spans="13:14">
      <c r="M192" s="64">
        <v>186</v>
      </c>
      <c r="N192">
        <f t="shared" si="2"/>
        <v>9.7253267038475588E-2</v>
      </c>
    </row>
    <row r="193" spans="13:14">
      <c r="M193" s="64">
        <v>187</v>
      </c>
      <c r="N193">
        <f t="shared" si="2"/>
        <v>9.913307386227993E-2</v>
      </c>
    </row>
    <row r="194" spans="13:14">
      <c r="M194" s="64">
        <v>188</v>
      </c>
      <c r="N194">
        <f t="shared" si="2"/>
        <v>0.10101288068608427</v>
      </c>
    </row>
    <row r="195" spans="13:14">
      <c r="M195" s="64">
        <v>189</v>
      </c>
      <c r="N195">
        <f t="shared" si="2"/>
        <v>0.10289268750988859</v>
      </c>
    </row>
    <row r="196" spans="13:14">
      <c r="M196" s="64">
        <v>190</v>
      </c>
      <c r="N196">
        <f t="shared" si="2"/>
        <v>0.10477249433369291</v>
      </c>
    </row>
    <row r="197" spans="13:14">
      <c r="M197" s="64">
        <v>191</v>
      </c>
      <c r="N197">
        <f t="shared" si="2"/>
        <v>0.10665230115749727</v>
      </c>
    </row>
    <row r="198" spans="13:14">
      <c r="M198" s="64">
        <v>192</v>
      </c>
      <c r="N198">
        <f t="shared" si="2"/>
        <v>0.10853210798130161</v>
      </c>
    </row>
    <row r="199" spans="13:14">
      <c r="M199" s="64">
        <v>193</v>
      </c>
      <c r="N199">
        <f t="shared" ref="N199:N262" si="3">Trinomial_Barrier_Europe($N$5,M199,$C$10,$C$11,$C$7,$C$12,$C$6,$C$5,$B$13,$B$14)</f>
        <v>0.11041191480510597</v>
      </c>
    </row>
    <row r="200" spans="13:14">
      <c r="M200" s="64">
        <v>194</v>
      </c>
      <c r="N200">
        <f t="shared" si="3"/>
        <v>0</v>
      </c>
    </row>
    <row r="201" spans="13:14">
      <c r="M201" s="64">
        <v>195</v>
      </c>
      <c r="N201">
        <f t="shared" si="3"/>
        <v>0</v>
      </c>
    </row>
    <row r="202" spans="13:14">
      <c r="M202" s="64">
        <v>196</v>
      </c>
      <c r="N202">
        <f t="shared" si="3"/>
        <v>0</v>
      </c>
    </row>
    <row r="203" spans="13:14">
      <c r="M203" s="64">
        <v>197</v>
      </c>
      <c r="N203">
        <f t="shared" si="3"/>
        <v>0</v>
      </c>
    </row>
    <row r="204" spans="13:14">
      <c r="M204" s="64">
        <v>198</v>
      </c>
      <c r="N204">
        <f t="shared" si="3"/>
        <v>0</v>
      </c>
    </row>
    <row r="205" spans="13:14">
      <c r="M205" s="64">
        <v>199</v>
      </c>
      <c r="N205">
        <f t="shared" si="3"/>
        <v>0</v>
      </c>
    </row>
    <row r="206" spans="13:14">
      <c r="M206" s="64">
        <v>200</v>
      </c>
      <c r="N206">
        <f t="shared" si="3"/>
        <v>0</v>
      </c>
    </row>
    <row r="207" spans="13:14">
      <c r="M207" s="64">
        <v>201</v>
      </c>
      <c r="N207">
        <f t="shared" si="3"/>
        <v>0</v>
      </c>
    </row>
    <row r="208" spans="13:14">
      <c r="M208" s="64">
        <v>202</v>
      </c>
      <c r="N208">
        <f t="shared" si="3"/>
        <v>0</v>
      </c>
    </row>
    <row r="209" spans="13:14">
      <c r="M209" s="64">
        <v>203</v>
      </c>
      <c r="N209">
        <f t="shared" si="3"/>
        <v>0</v>
      </c>
    </row>
    <row r="210" spans="13:14">
      <c r="M210" s="64">
        <v>204</v>
      </c>
      <c r="N210">
        <f t="shared" si="3"/>
        <v>0</v>
      </c>
    </row>
    <row r="211" spans="13:14">
      <c r="M211" s="64">
        <v>205</v>
      </c>
      <c r="N211">
        <f t="shared" si="3"/>
        <v>0</v>
      </c>
    </row>
    <row r="212" spans="13:14">
      <c r="M212" s="64">
        <v>206</v>
      </c>
      <c r="N212">
        <f t="shared" si="3"/>
        <v>0</v>
      </c>
    </row>
    <row r="213" spans="13:14">
      <c r="M213" s="64">
        <v>207</v>
      </c>
      <c r="N213">
        <f t="shared" si="3"/>
        <v>0</v>
      </c>
    </row>
    <row r="214" spans="13:14">
      <c r="M214" s="64">
        <v>208</v>
      </c>
      <c r="N214">
        <f t="shared" si="3"/>
        <v>0</v>
      </c>
    </row>
    <row r="215" spans="13:14">
      <c r="M215" s="64">
        <v>209</v>
      </c>
      <c r="N215">
        <f t="shared" si="3"/>
        <v>0</v>
      </c>
    </row>
    <row r="216" spans="13:14">
      <c r="M216" s="64">
        <v>210</v>
      </c>
      <c r="N216">
        <f t="shared" si="3"/>
        <v>0</v>
      </c>
    </row>
    <row r="217" spans="13:14">
      <c r="M217" s="64">
        <v>211</v>
      </c>
      <c r="N217">
        <f t="shared" si="3"/>
        <v>0</v>
      </c>
    </row>
    <row r="218" spans="13:14">
      <c r="M218" s="64">
        <v>212</v>
      </c>
      <c r="N218">
        <f t="shared" si="3"/>
        <v>0</v>
      </c>
    </row>
    <row r="219" spans="13:14">
      <c r="M219" s="64">
        <v>213</v>
      </c>
      <c r="N219">
        <f t="shared" si="3"/>
        <v>0</v>
      </c>
    </row>
    <row r="220" spans="13:14">
      <c r="M220" s="64">
        <v>214</v>
      </c>
      <c r="N220">
        <f t="shared" si="3"/>
        <v>0</v>
      </c>
    </row>
    <row r="221" spans="13:14">
      <c r="M221" s="64">
        <v>215</v>
      </c>
      <c r="N221">
        <f t="shared" si="3"/>
        <v>0</v>
      </c>
    </row>
    <row r="222" spans="13:14">
      <c r="M222" s="64">
        <v>216</v>
      </c>
      <c r="N222">
        <f t="shared" si="3"/>
        <v>0</v>
      </c>
    </row>
    <row r="223" spans="13:14">
      <c r="M223" s="64">
        <v>217</v>
      </c>
      <c r="N223">
        <f t="shared" si="3"/>
        <v>0</v>
      </c>
    </row>
    <row r="224" spans="13:14">
      <c r="M224" s="64">
        <v>218</v>
      </c>
      <c r="N224">
        <f t="shared" si="3"/>
        <v>0</v>
      </c>
    </row>
    <row r="225" spans="13:14">
      <c r="M225" s="64">
        <v>219</v>
      </c>
      <c r="N225">
        <f t="shared" si="3"/>
        <v>0</v>
      </c>
    </row>
    <row r="226" spans="13:14">
      <c r="M226" s="64">
        <v>220</v>
      </c>
      <c r="N226">
        <f t="shared" si="3"/>
        <v>0</v>
      </c>
    </row>
    <row r="227" spans="13:14">
      <c r="M227" s="64">
        <v>221</v>
      </c>
      <c r="N227">
        <f t="shared" si="3"/>
        <v>0</v>
      </c>
    </row>
    <row r="228" spans="13:14">
      <c r="M228" s="64">
        <v>222</v>
      </c>
      <c r="N228">
        <f t="shared" si="3"/>
        <v>0</v>
      </c>
    </row>
    <row r="229" spans="13:14">
      <c r="M229" s="64">
        <v>223</v>
      </c>
      <c r="N229">
        <f t="shared" si="3"/>
        <v>0</v>
      </c>
    </row>
    <row r="230" spans="13:14">
      <c r="M230" s="64">
        <v>224</v>
      </c>
      <c r="N230">
        <f t="shared" si="3"/>
        <v>0</v>
      </c>
    </row>
    <row r="231" spans="13:14">
      <c r="M231" s="64">
        <v>225</v>
      </c>
      <c r="N231">
        <f t="shared" si="3"/>
        <v>0</v>
      </c>
    </row>
    <row r="232" spans="13:14">
      <c r="M232" s="64">
        <v>226</v>
      </c>
      <c r="N232">
        <f t="shared" si="3"/>
        <v>0</v>
      </c>
    </row>
    <row r="233" spans="13:14">
      <c r="M233" s="64">
        <v>227</v>
      </c>
      <c r="N233">
        <f t="shared" si="3"/>
        <v>0</v>
      </c>
    </row>
    <row r="234" spans="13:14">
      <c r="M234" s="64">
        <v>228</v>
      </c>
      <c r="N234">
        <f t="shared" si="3"/>
        <v>0</v>
      </c>
    </row>
    <row r="235" spans="13:14">
      <c r="M235" s="64">
        <v>229</v>
      </c>
      <c r="N235">
        <f t="shared" si="3"/>
        <v>0</v>
      </c>
    </row>
    <row r="236" spans="13:14">
      <c r="M236" s="64">
        <v>230</v>
      </c>
      <c r="N236">
        <f t="shared" si="3"/>
        <v>0</v>
      </c>
    </row>
    <row r="237" spans="13:14">
      <c r="M237" s="64">
        <v>231</v>
      </c>
      <c r="N237">
        <f t="shared" si="3"/>
        <v>0</v>
      </c>
    </row>
    <row r="238" spans="13:14">
      <c r="M238" s="64">
        <v>232</v>
      </c>
      <c r="N238">
        <f t="shared" si="3"/>
        <v>0</v>
      </c>
    </row>
    <row r="239" spans="13:14">
      <c r="M239" s="64">
        <v>233</v>
      </c>
      <c r="N239">
        <f t="shared" si="3"/>
        <v>0</v>
      </c>
    </row>
    <row r="240" spans="13:14">
      <c r="M240" s="64">
        <v>234</v>
      </c>
      <c r="N240">
        <f t="shared" si="3"/>
        <v>0</v>
      </c>
    </row>
    <row r="241" spans="13:14">
      <c r="M241" s="64">
        <v>235</v>
      </c>
      <c r="N241">
        <f t="shared" si="3"/>
        <v>0</v>
      </c>
    </row>
    <row r="242" spans="13:14">
      <c r="M242" s="64">
        <v>236</v>
      </c>
      <c r="N242">
        <f t="shared" si="3"/>
        <v>0</v>
      </c>
    </row>
    <row r="243" spans="13:14">
      <c r="M243" s="64">
        <v>237</v>
      </c>
      <c r="N243">
        <f t="shared" si="3"/>
        <v>0</v>
      </c>
    </row>
    <row r="244" spans="13:14">
      <c r="M244" s="64">
        <v>238</v>
      </c>
      <c r="N244">
        <f t="shared" si="3"/>
        <v>0</v>
      </c>
    </row>
    <row r="245" spans="13:14">
      <c r="M245" s="64">
        <v>239</v>
      </c>
      <c r="N245">
        <f t="shared" si="3"/>
        <v>0</v>
      </c>
    </row>
    <row r="246" spans="13:14">
      <c r="M246" s="64">
        <v>240</v>
      </c>
      <c r="N246">
        <f t="shared" si="3"/>
        <v>0</v>
      </c>
    </row>
    <row r="247" spans="13:14">
      <c r="M247" s="64">
        <v>241</v>
      </c>
      <c r="N247">
        <f t="shared" si="3"/>
        <v>0</v>
      </c>
    </row>
    <row r="248" spans="13:14">
      <c r="M248" s="64">
        <v>242</v>
      </c>
      <c r="N248">
        <f t="shared" si="3"/>
        <v>0</v>
      </c>
    </row>
    <row r="249" spans="13:14">
      <c r="M249" s="64">
        <v>243</v>
      </c>
      <c r="N249">
        <f t="shared" si="3"/>
        <v>0</v>
      </c>
    </row>
    <row r="250" spans="13:14">
      <c r="M250" s="64">
        <v>244</v>
      </c>
      <c r="N250">
        <f t="shared" si="3"/>
        <v>0</v>
      </c>
    </row>
    <row r="251" spans="13:14">
      <c r="M251" s="64">
        <v>245</v>
      </c>
      <c r="N251">
        <f t="shared" si="3"/>
        <v>0</v>
      </c>
    </row>
    <row r="252" spans="13:14">
      <c r="M252" s="64">
        <v>246</v>
      </c>
      <c r="N252">
        <f t="shared" si="3"/>
        <v>0</v>
      </c>
    </row>
    <row r="253" spans="13:14">
      <c r="M253" s="64">
        <v>247</v>
      </c>
      <c r="N253">
        <f t="shared" si="3"/>
        <v>0</v>
      </c>
    </row>
    <row r="254" spans="13:14">
      <c r="M254" s="64">
        <v>248</v>
      </c>
      <c r="N254">
        <f t="shared" si="3"/>
        <v>0</v>
      </c>
    </row>
    <row r="255" spans="13:14">
      <c r="M255" s="64">
        <v>249</v>
      </c>
      <c r="N255">
        <f t="shared" si="3"/>
        <v>0</v>
      </c>
    </row>
    <row r="256" spans="13:14">
      <c r="M256" s="64">
        <v>250</v>
      </c>
      <c r="N256">
        <f t="shared" si="3"/>
        <v>0</v>
      </c>
    </row>
    <row r="257" spans="13:14">
      <c r="M257" s="64">
        <v>251</v>
      </c>
      <c r="N257">
        <f t="shared" si="3"/>
        <v>0</v>
      </c>
    </row>
    <row r="258" spans="13:14">
      <c r="M258" s="64">
        <v>252</v>
      </c>
      <c r="N258">
        <f t="shared" si="3"/>
        <v>0</v>
      </c>
    </row>
    <row r="259" spans="13:14">
      <c r="M259" s="64">
        <v>253</v>
      </c>
      <c r="N259">
        <f t="shared" si="3"/>
        <v>0</v>
      </c>
    </row>
    <row r="260" spans="13:14">
      <c r="M260" s="64">
        <v>254</v>
      </c>
      <c r="N260">
        <f t="shared" si="3"/>
        <v>0</v>
      </c>
    </row>
    <row r="261" spans="13:14">
      <c r="M261" s="64">
        <v>255</v>
      </c>
      <c r="N261">
        <f t="shared" si="3"/>
        <v>0</v>
      </c>
    </row>
    <row r="262" spans="13:14">
      <c r="M262" s="64">
        <v>256</v>
      </c>
      <c r="N262">
        <f t="shared" si="3"/>
        <v>0</v>
      </c>
    </row>
    <row r="263" spans="13:14">
      <c r="M263" s="64">
        <v>257</v>
      </c>
      <c r="N263">
        <f t="shared" ref="N263:N267" si="4">Trinomial_Barrier_Europe($N$5,M263,$C$10,$C$11,$C$7,$C$12,$C$6,$C$5,$B$13,$B$14)</f>
        <v>0</v>
      </c>
    </row>
    <row r="264" spans="13:14">
      <c r="M264" s="64">
        <v>258</v>
      </c>
      <c r="N264">
        <f t="shared" si="4"/>
        <v>0</v>
      </c>
    </row>
    <row r="265" spans="13:14">
      <c r="M265" s="64">
        <v>259</v>
      </c>
      <c r="N265">
        <f t="shared" si="4"/>
        <v>0</v>
      </c>
    </row>
    <row r="266" spans="13:14">
      <c r="M266" s="64">
        <v>260</v>
      </c>
      <c r="N266">
        <f t="shared" si="4"/>
        <v>0</v>
      </c>
    </row>
    <row r="267" spans="13:14">
      <c r="M267" s="64">
        <v>261</v>
      </c>
      <c r="N267">
        <f t="shared" si="4"/>
        <v>0</v>
      </c>
    </row>
  </sheetData>
  <mergeCells count="2">
    <mergeCell ref="H1:M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5</xdr:col>
                    <xdr:colOff>0</xdr:colOff>
                    <xdr:row>9</xdr:row>
                    <xdr:rowOff>38100</xdr:rowOff>
                  </from>
                  <to>
                    <xdr:col>5</xdr:col>
                    <xdr:colOff>1066800</xdr:colOff>
                    <xdr:row>17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Binomial_European</vt:lpstr>
      <vt:lpstr>Binomial_American</vt:lpstr>
      <vt:lpstr>Trinomial_standard</vt:lpstr>
      <vt:lpstr>Trinomial_barrier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 Office User</cp:lastModifiedBy>
  <dcterms:created xsi:type="dcterms:W3CDTF">2017-11-17T16:37:58Z</dcterms:created>
  <dcterms:modified xsi:type="dcterms:W3CDTF">2021-01-05T20:30:56Z</dcterms:modified>
</cp:coreProperties>
</file>